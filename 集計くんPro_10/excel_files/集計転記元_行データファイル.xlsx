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CC\Aggregate\Script_10\test_data\"/>
    </mc:Choice>
  </mc:AlternateContent>
  <xr:revisionPtr revIDLastSave="0" documentId="13_ncr:1_{8AD01DF9-E322-43FF-BEF8-B28AE48C8B8D}" xr6:coauthVersionLast="47" xr6:coauthVersionMax="47" xr10:uidLastSave="{00000000-0000-0000-0000-000000000000}"/>
  <bookViews>
    <workbookView xWindow="3405" yWindow="165" windowWidth="25050" windowHeight="15315" tabRatio="500" activeTab="2" xr2:uid="{00000000-000D-0000-FFFF-FFFF00000000}"/>
  </bookViews>
  <sheets>
    <sheet name="グループA" sheetId="1" r:id="rId1"/>
    <sheet name="グループB" sheetId="2" r:id="rId2"/>
    <sheet name="グループC" sheetId="3" r:id="rId3"/>
  </sheets>
  <definedNames>
    <definedName name="_xlnm.Print_Area" localSheetId="0">グループA!$A$1:$P$34</definedName>
    <definedName name="_xlnm.Print_Area" localSheetId="1">グループB!$A$1:$P$34</definedName>
    <definedName name="_xlnm.Print_Area" localSheetId="2">グループC!$A$1:$P$34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17" i="3" l="1"/>
  <c r="N17" i="3"/>
  <c r="L17" i="3"/>
  <c r="K17" i="3"/>
  <c r="J17" i="3"/>
  <c r="I17" i="3"/>
  <c r="H17" i="3"/>
  <c r="F17" i="3"/>
  <c r="P10" i="3"/>
  <c r="P18" i="3" s="1"/>
  <c r="N10" i="3"/>
  <c r="N18" i="3" s="1"/>
  <c r="L10" i="3"/>
  <c r="L18" i="3" s="1"/>
  <c r="K10" i="3"/>
  <c r="K18" i="3" s="1"/>
  <c r="J10" i="3"/>
  <c r="J18" i="3" s="1"/>
  <c r="I10" i="3"/>
  <c r="I18" i="3" s="1"/>
  <c r="H10" i="3"/>
  <c r="H18" i="3" s="1"/>
  <c r="F10" i="3"/>
  <c r="F18" i="3" s="1"/>
  <c r="K18" i="2"/>
  <c r="I18" i="2"/>
  <c r="P17" i="2"/>
  <c r="N17" i="2"/>
  <c r="N18" i="2" s="1"/>
  <c r="K17" i="2"/>
  <c r="J17" i="2"/>
  <c r="J18" i="2" s="1"/>
  <c r="I17" i="2"/>
  <c r="H17" i="2"/>
  <c r="H18" i="2" s="1"/>
  <c r="F17" i="2"/>
  <c r="L16" i="2"/>
  <c r="L15" i="2"/>
  <c r="L14" i="2"/>
  <c r="L13" i="2"/>
  <c r="L12" i="2"/>
  <c r="L11" i="2"/>
  <c r="L17" i="2" s="1"/>
  <c r="P10" i="2"/>
  <c r="P18" i="2" s="1"/>
  <c r="N10" i="2"/>
  <c r="K10" i="2"/>
  <c r="J10" i="2"/>
  <c r="I10" i="2"/>
  <c r="H10" i="2"/>
  <c r="F10" i="2"/>
  <c r="F18" i="2" s="1"/>
  <c r="L9" i="2"/>
  <c r="L8" i="2"/>
  <c r="L7" i="2"/>
  <c r="L6" i="2"/>
  <c r="L5" i="2"/>
  <c r="L4" i="2"/>
  <c r="L10" i="2" s="1"/>
  <c r="H18" i="1"/>
  <c r="P17" i="1"/>
  <c r="P18" i="1" s="1"/>
  <c r="N17" i="1"/>
  <c r="N18" i="1" s="1"/>
  <c r="K17" i="1"/>
  <c r="J17" i="1"/>
  <c r="I17" i="1"/>
  <c r="H17" i="1"/>
  <c r="F17" i="1"/>
  <c r="F18" i="1" s="1"/>
  <c r="L16" i="1"/>
  <c r="L15" i="1"/>
  <c r="L14" i="1"/>
  <c r="L17" i="1" s="1"/>
  <c r="L13" i="1"/>
  <c r="L12" i="1"/>
  <c r="L11" i="1"/>
  <c r="P10" i="1"/>
  <c r="N10" i="1"/>
  <c r="K10" i="1"/>
  <c r="K18" i="1" s="1"/>
  <c r="J10" i="1"/>
  <c r="J18" i="1" s="1"/>
  <c r="I10" i="1"/>
  <c r="I18" i="1" s="1"/>
  <c r="H10" i="1"/>
  <c r="F10" i="1"/>
  <c r="L9" i="1"/>
  <c r="L8" i="1"/>
  <c r="L7" i="1"/>
  <c r="L6" i="1"/>
  <c r="L5" i="1"/>
  <c r="L10" i="1" s="1"/>
  <c r="L4" i="1"/>
  <c r="L18" i="1" l="1"/>
  <c r="L1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1" authorId="0" shapeId="0" xr:uid="{00000000-0006-0000-0000-000001000000}">
      <text>
        <r>
          <rPr>
            <sz val="12"/>
            <rFont val="ＭＳ Ｐゴシック"/>
            <family val="3"/>
            <charset val="128"/>
          </rPr>
          <t>除却のみ記入</t>
        </r>
      </text>
    </comment>
    <comment ref="K21" authorId="0" shapeId="0" xr:uid="{00000000-0006-0000-0000-000002000000}">
      <text>
        <r>
          <rPr>
            <sz val="12"/>
            <rFont val="ＭＳ Ｐゴシック"/>
            <family val="3"/>
            <charset val="128"/>
          </rPr>
          <t>除却のみ記入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1" authorId="0" shapeId="0" xr:uid="{00000000-0006-0000-0100-000001000000}">
      <text>
        <r>
          <rPr>
            <sz val="12"/>
            <rFont val="ＭＳ Ｐゴシック"/>
            <family val="3"/>
            <charset val="128"/>
          </rPr>
          <t>除却のみ記入</t>
        </r>
      </text>
    </comment>
    <comment ref="K21" authorId="0" shapeId="0" xr:uid="{00000000-0006-0000-0100-000002000000}">
      <text>
        <r>
          <rPr>
            <sz val="12"/>
            <rFont val="ＭＳ Ｐゴシック"/>
            <family val="3"/>
            <charset val="128"/>
          </rPr>
          <t>除却のみ記入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1" authorId="0" shapeId="0" xr:uid="{00000000-0006-0000-0200-000001000000}">
      <text>
        <r>
          <rPr>
            <sz val="12"/>
            <rFont val="ＭＳ Ｐゴシック"/>
            <family val="3"/>
            <charset val="128"/>
          </rPr>
          <t>除却のみ記入</t>
        </r>
      </text>
    </comment>
    <comment ref="K21" authorId="0" shapeId="0" xr:uid="{00000000-0006-0000-0200-000002000000}">
      <text>
        <r>
          <rPr>
            <sz val="12"/>
            <rFont val="ＭＳ Ｐゴシック"/>
            <family val="3"/>
            <charset val="128"/>
          </rPr>
          <t>除却のみ記入</t>
        </r>
      </text>
    </comment>
  </commentList>
</comments>
</file>

<file path=xl/sharedStrings.xml><?xml version="1.0" encoding="utf-8"?>
<sst xmlns="http://schemas.openxmlformats.org/spreadsheetml/2006/main" count="144" uniqueCount="47">
  <si>
    <t>2026年度　予算</t>
  </si>
  <si>
    <t>作成日</t>
  </si>
  <si>
    <t>←企画管理Gr.への提出日を入力してください</t>
  </si>
  <si>
    <t>研究開発費</t>
  </si>
  <si>
    <t>経費B</t>
  </si>
  <si>
    <t>経費A</t>
  </si>
  <si>
    <t>（単位：千円）</t>
  </si>
  <si>
    <t>妨害列</t>
  </si>
  <si>
    <t>年度</t>
  </si>
  <si>
    <t>月</t>
  </si>
  <si>
    <t>月別 計</t>
  </si>
  <si>
    <t>期中取得 計</t>
  </si>
  <si>
    <t>　　上期 計</t>
  </si>
  <si>
    <t>　　下期 計</t>
  </si>
  <si>
    <t>2026年度 年間 合計</t>
  </si>
  <si>
    <t>材修期中</t>
  </si>
  <si>
    <t>固定資産</t>
  </si>
  <si>
    <t>資産名称</t>
  </si>
  <si>
    <t>取得／除却</t>
  </si>
  <si>
    <r>
      <rPr>
        <b/>
        <sz val="10"/>
        <rFont val="ＭＳ Ｐゴシック"/>
        <family val="3"/>
        <charset val="128"/>
      </rPr>
      <t>取得価格　</t>
    </r>
    <r>
      <rPr>
        <sz val="9"/>
        <rFont val="ＭＳ Ｐゴシック"/>
        <family val="3"/>
        <charset val="128"/>
      </rPr>
      <t>（千円）</t>
    </r>
  </si>
  <si>
    <t>起業／期中</t>
  </si>
  <si>
    <t>設備1_グループA</t>
  </si>
  <si>
    <t>取得</t>
  </si>
  <si>
    <t>設備2_グループA</t>
  </si>
  <si>
    <t>設備3_グループA</t>
  </si>
  <si>
    <t>設備4_グループA</t>
  </si>
  <si>
    <t>設備5_グループA</t>
  </si>
  <si>
    <t>設備6_グループA</t>
  </si>
  <si>
    <t>設備7_グループA</t>
  </si>
  <si>
    <t>除却</t>
  </si>
  <si>
    <t>設備8_グループA</t>
  </si>
  <si>
    <t>設備9_グループA</t>
  </si>
  <si>
    <t>設備10_グループA</t>
  </si>
  <si>
    <t>設備11_グループA</t>
  </si>
  <si>
    <t>設備12_グループA</t>
  </si>
  <si>
    <t>設備1_グループB</t>
  </si>
  <si>
    <t>設備2_グループB</t>
  </si>
  <si>
    <t>設備3_グループB</t>
  </si>
  <si>
    <t>設備4_グループB</t>
  </si>
  <si>
    <t>設備5_グループB</t>
  </si>
  <si>
    <t>設備6_グループB</t>
  </si>
  <si>
    <t>設備7_グループB</t>
  </si>
  <si>
    <t>設備8_グループB</t>
  </si>
  <si>
    <t>設備_取得9_グループB</t>
  </si>
  <si>
    <t>設備_取得10_グループB</t>
  </si>
  <si>
    <t>設備_取得11_グループB</t>
  </si>
  <si>
    <t>設備_取得12_グループB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</si>
</sst>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 "/>
    <numFmt numFmtId="177" formatCode="[$-F800]dddd&quot;, &quot;mmmm\ dd&quot;, &quot;yyyy"/>
    <numFmt numFmtId="178" formatCode="_ * #,##0_ ;_ * \-#,##0_ ;_ * \-_ ;_ @_ "/>
    <numFmt numFmtId="179" formatCode="#,##0;&quot;△ &quot;#,##0"/>
    <numFmt numFmtId="180" formatCode="0_ "/>
    <numFmt numFmtId="181" formatCode="General&quot; 千円&quot;"/>
  </numFmts>
  <fonts count="37" x14ac:knownFonts="1"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ＭＳ Ｐゴシック"/>
      <family val="3"/>
      <charset val="128"/>
    </font>
    <font>
      <b/>
      <sz val="18"/>
      <name val="ＭＳ Ｐゴシック"/>
      <family val="3"/>
      <charset val="128"/>
    </font>
    <font>
      <b/>
      <u/>
      <sz val="11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10"/>
      <color rgb="FFFF0000"/>
      <name val="ＭＳ Ｐ明朝"/>
      <family val="1"/>
      <charset val="128"/>
    </font>
    <font>
      <sz val="11"/>
      <color rgb="FFFF0000"/>
      <name val="ＭＳ Ｐ明朝"/>
      <family val="1"/>
      <charset val="128"/>
    </font>
    <font>
      <b/>
      <sz val="12"/>
      <color rgb="FF0000FF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b/>
      <sz val="11"/>
      <color rgb="FF0000FF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2"/>
      <color rgb="FF000000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12"/>
      <color rgb="FF000000"/>
      <name val="ＭＳ Ｐゴシック"/>
      <family val="3"/>
      <charset val="128"/>
    </font>
    <font>
      <sz val="12"/>
      <color rgb="FF000000"/>
      <name val="ＭＳ Ｐ明朝"/>
      <family val="1"/>
      <charset val="128"/>
    </font>
    <font>
      <b/>
      <sz val="9"/>
      <name val="ＭＳ Ｐゴシック"/>
      <family val="3"/>
      <charset val="128"/>
    </font>
    <font>
      <sz val="11"/>
      <color rgb="FF0000FF"/>
      <name val="ＭＳ Ｐゴシック"/>
      <family val="3"/>
      <charset val="128"/>
    </font>
    <font>
      <b/>
      <sz val="10"/>
      <color rgb="FF0000FF"/>
      <name val="ＭＳ Ｐゴシック"/>
      <family val="3"/>
      <charset val="128"/>
    </font>
    <font>
      <b/>
      <sz val="12"/>
      <color rgb="FF000000"/>
      <name val="ＭＳ Ｐ明朝"/>
      <family val="1"/>
      <charset val="128"/>
    </font>
    <font>
      <b/>
      <sz val="9"/>
      <color rgb="FF0000FF"/>
      <name val="ＭＳ Ｐゴシック"/>
      <family val="3"/>
      <charset val="128"/>
    </font>
    <font>
      <sz val="11"/>
      <name val="ＭＳ Ｐ明朝"/>
      <family val="1"/>
      <charset val="128"/>
    </font>
    <font>
      <b/>
      <sz val="10"/>
      <name val="ＭＳ Ｐゴシック"/>
      <family val="3"/>
      <charset val="128"/>
    </font>
    <font>
      <sz val="6"/>
      <name val="ＭＳ Ｐ明朝"/>
      <family val="1"/>
      <charset val="128"/>
    </font>
    <font>
      <sz val="10"/>
      <color rgb="FFFF000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明朝"/>
      <family val="1"/>
      <charset val="128"/>
    </font>
    <font>
      <b/>
      <sz val="14"/>
      <color rgb="FFFF0000"/>
      <name val="ＭＳ Ｐゴシック"/>
      <family val="3"/>
      <charset val="128"/>
    </font>
    <font>
      <b/>
      <sz val="14"/>
      <color rgb="FF0066FF"/>
      <name val="ＭＳ Ｐゴシック"/>
      <family val="3"/>
      <charset val="128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CD5B5"/>
        <bgColor rgb="FFFFFFCC"/>
      </patternFill>
    </fill>
    <fill>
      <patternFill patternType="solid">
        <fgColor rgb="FFDBEEF4"/>
        <bgColor rgb="FFCCFFFF"/>
      </patternFill>
    </fill>
    <fill>
      <patternFill patternType="solid">
        <fgColor rgb="FFCCFFCC"/>
        <bgColor rgb="FFCCFFFF"/>
      </patternFill>
    </fill>
  </fills>
  <borders count="2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3">
    <xf numFmtId="0" fontId="0" fillId="0" borderId="0"/>
    <xf numFmtId="38" fontId="35" fillId="0" borderId="0" applyBorder="0" applyProtection="0"/>
    <xf numFmtId="0" fontId="1" fillId="0" borderId="0"/>
  </cellStyleXfs>
  <cellXfs count="150">
    <xf numFmtId="0" fontId="0" fillId="0" borderId="0" xfId="0"/>
    <xf numFmtId="0" fontId="28" fillId="0" borderId="18" xfId="0" applyFont="1" applyBorder="1" applyAlignment="1">
      <alignment horizontal="center" vertical="center"/>
    </xf>
    <xf numFmtId="0" fontId="2" fillId="2" borderId="0" xfId="0" applyFont="1" applyFill="1"/>
    <xf numFmtId="0" fontId="2" fillId="0" borderId="0" xfId="0" applyFont="1"/>
    <xf numFmtId="38" fontId="2" fillId="0" borderId="0" xfId="0" applyNumberFormat="1" applyFont="1"/>
    <xf numFmtId="176" fontId="2" fillId="0" borderId="0" xfId="0" applyNumberFormat="1" applyFont="1"/>
    <xf numFmtId="0" fontId="3" fillId="0" borderId="0" xfId="0" applyFont="1"/>
    <xf numFmtId="38" fontId="4" fillId="0" borderId="0" xfId="0" applyNumberFormat="1" applyFont="1"/>
    <xf numFmtId="0" fontId="5" fillId="0" borderId="1" xfId="0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left"/>
    </xf>
    <xf numFmtId="0" fontId="2" fillId="3" borderId="0" xfId="0" applyFont="1" applyFill="1"/>
    <xf numFmtId="0" fontId="5" fillId="3" borderId="0" xfId="0" applyFont="1" applyFill="1"/>
    <xf numFmtId="0" fontId="11" fillId="3" borderId="0" xfId="0" applyFont="1" applyFill="1"/>
    <xf numFmtId="38" fontId="12" fillId="3" borderId="0" xfId="0" applyNumberFormat="1" applyFont="1" applyFill="1"/>
    <xf numFmtId="0" fontId="13" fillId="3" borderId="0" xfId="0" applyFont="1" applyFill="1"/>
    <xf numFmtId="176" fontId="6" fillId="3" borderId="0" xfId="0" applyNumberFormat="1" applyFont="1" applyFill="1"/>
    <xf numFmtId="38" fontId="14" fillId="3" borderId="0" xfId="0" applyNumberFormat="1" applyFont="1" applyFill="1"/>
    <xf numFmtId="38" fontId="2" fillId="3" borderId="0" xfId="0" applyNumberFormat="1" applyFont="1" applyFill="1"/>
    <xf numFmtId="0" fontId="15" fillId="3" borderId="0" xfId="2" applyFont="1" applyFill="1" applyAlignment="1">
      <alignment horizontal="center"/>
    </xf>
    <xf numFmtId="0" fontId="13" fillId="3" borderId="0" xfId="2" applyFont="1" applyFill="1"/>
    <xf numFmtId="0" fontId="16" fillId="3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3" fillId="0" borderId="0" xfId="2" applyFont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8" fillId="2" borderId="0" xfId="0" applyFont="1" applyFill="1" applyAlignment="1">
      <alignment vertical="center"/>
    </xf>
    <xf numFmtId="0" fontId="19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178" fontId="20" fillId="0" borderId="6" xfId="0" applyNumberFormat="1" applyFont="1" applyBorder="1" applyAlignment="1">
      <alignment horizontal="left" vertical="center"/>
    </xf>
    <xf numFmtId="0" fontId="20" fillId="0" borderId="6" xfId="0" applyFont="1" applyBorder="1" applyAlignment="1">
      <alignment horizontal="center" vertical="center"/>
    </xf>
    <xf numFmtId="179" fontId="20" fillId="0" borderId="6" xfId="0" applyNumberFormat="1" applyFont="1" applyBorder="1" applyAlignment="1">
      <alignment horizontal="right" vertical="center"/>
    </xf>
    <xf numFmtId="179" fontId="21" fillId="0" borderId="6" xfId="0" applyNumberFormat="1" applyFont="1" applyBorder="1" applyAlignment="1">
      <alignment horizontal="right" vertical="center"/>
    </xf>
    <xf numFmtId="179" fontId="6" fillId="0" borderId="7" xfId="0" applyNumberFormat="1" applyFont="1" applyBorder="1" applyAlignment="1">
      <alignment horizontal="right" vertical="center" wrapText="1"/>
    </xf>
    <xf numFmtId="179" fontId="6" fillId="0" borderId="0" xfId="0" applyNumberFormat="1" applyFont="1" applyAlignment="1">
      <alignment horizontal="right" vertical="center" wrapText="1"/>
    </xf>
    <xf numFmtId="179" fontId="2" fillId="0" borderId="0" xfId="0" applyNumberFormat="1" applyFont="1" applyAlignment="1">
      <alignment horizontal="right" vertical="center" wrapText="1"/>
    </xf>
    <xf numFmtId="0" fontId="13" fillId="0" borderId="0" xfId="2" applyFont="1" applyAlignment="1">
      <alignment vertical="center"/>
    </xf>
    <xf numFmtId="179" fontId="6" fillId="0" borderId="8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2" fillId="2" borderId="9" xfId="0" applyFont="1" applyFill="1" applyBorder="1" applyAlignment="1">
      <alignment vertical="center"/>
    </xf>
    <xf numFmtId="0" fontId="6" fillId="2" borderId="10" xfId="0" applyFont="1" applyFill="1" applyBorder="1" applyAlignment="1">
      <alignment vertical="center"/>
    </xf>
    <xf numFmtId="178" fontId="20" fillId="0" borderId="10" xfId="0" applyNumberFormat="1" applyFont="1" applyBorder="1" applyAlignment="1">
      <alignment horizontal="left" vertical="center"/>
    </xf>
    <xf numFmtId="0" fontId="20" fillId="0" borderId="10" xfId="0" applyFont="1" applyBorder="1" applyAlignment="1">
      <alignment horizontal="center" vertical="center"/>
    </xf>
    <xf numFmtId="179" fontId="20" fillId="0" borderId="10" xfId="0" applyNumberFormat="1" applyFont="1" applyBorder="1" applyAlignment="1">
      <alignment horizontal="right" vertical="center"/>
    </xf>
    <xf numFmtId="179" fontId="21" fillId="0" borderId="10" xfId="0" applyNumberFormat="1" applyFont="1" applyBorder="1" applyAlignment="1">
      <alignment horizontal="right" vertical="center"/>
    </xf>
    <xf numFmtId="179" fontId="6" fillId="0" borderId="11" xfId="0" applyNumberFormat="1" applyFont="1" applyBorder="1" applyAlignment="1">
      <alignment horizontal="right" vertical="center" wrapText="1"/>
    </xf>
    <xf numFmtId="179" fontId="2" fillId="0" borderId="0" xfId="0" applyNumberFormat="1" applyFont="1" applyAlignment="1">
      <alignment horizontal="right" vertical="center"/>
    </xf>
    <xf numFmtId="179" fontId="6" fillId="0" borderId="12" xfId="0" applyNumberFormat="1" applyFont="1" applyBorder="1" applyAlignment="1">
      <alignment vertical="center"/>
    </xf>
    <xf numFmtId="179" fontId="23" fillId="0" borderId="0" xfId="1" applyNumberFormat="1" applyFont="1" applyBorder="1" applyAlignment="1" applyProtection="1">
      <alignment horizontal="right" vertical="center"/>
      <protection locked="0"/>
    </xf>
    <xf numFmtId="0" fontId="22" fillId="2" borderId="13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178" fontId="20" fillId="0" borderId="14" xfId="0" applyNumberFormat="1" applyFont="1" applyBorder="1" applyAlignment="1">
      <alignment horizontal="left" vertical="center"/>
    </xf>
    <xf numFmtId="0" fontId="20" fillId="0" borderId="14" xfId="0" applyFont="1" applyBorder="1" applyAlignment="1">
      <alignment horizontal="center" vertical="center"/>
    </xf>
    <xf numFmtId="179" fontId="20" fillId="0" borderId="14" xfId="0" applyNumberFormat="1" applyFont="1" applyBorder="1" applyAlignment="1">
      <alignment horizontal="right" vertical="center"/>
    </xf>
    <xf numFmtId="179" fontId="21" fillId="0" borderId="14" xfId="0" applyNumberFormat="1" applyFont="1" applyBorder="1" applyAlignment="1">
      <alignment horizontal="right" vertical="center"/>
    </xf>
    <xf numFmtId="179" fontId="6" fillId="0" borderId="15" xfId="0" applyNumberFormat="1" applyFont="1" applyBorder="1" applyAlignment="1">
      <alignment horizontal="right" vertical="center" wrapText="1"/>
    </xf>
    <xf numFmtId="179" fontId="6" fillId="0" borderId="16" xfId="0" applyNumberFormat="1" applyFont="1" applyBorder="1" applyAlignment="1">
      <alignment vertical="center"/>
    </xf>
    <xf numFmtId="0" fontId="24" fillId="2" borderId="2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16" fillId="0" borderId="3" xfId="0" applyFont="1" applyBorder="1" applyAlignment="1">
      <alignment vertical="center"/>
    </xf>
    <xf numFmtId="179" fontId="21" fillId="0" borderId="3" xfId="0" applyNumberFormat="1" applyFont="1" applyBorder="1" applyAlignment="1">
      <alignment horizontal="right" vertical="center"/>
    </xf>
    <xf numFmtId="0" fontId="21" fillId="0" borderId="3" xfId="0" applyFont="1" applyBorder="1" applyAlignment="1">
      <alignment horizontal="left" vertical="center"/>
    </xf>
    <xf numFmtId="179" fontId="6" fillId="0" borderId="4" xfId="0" applyNumberFormat="1" applyFont="1" applyBorder="1" applyAlignment="1">
      <alignment horizontal="right" vertical="center"/>
    </xf>
    <xf numFmtId="179" fontId="6" fillId="0" borderId="0" xfId="0" applyNumberFormat="1" applyFont="1" applyAlignment="1">
      <alignment horizontal="right" vertical="center"/>
    </xf>
    <xf numFmtId="179" fontId="6" fillId="0" borderId="1" xfId="0" applyNumberFormat="1" applyFont="1" applyBorder="1" applyAlignment="1">
      <alignment horizontal="right" vertical="center"/>
    </xf>
    <xf numFmtId="0" fontId="22" fillId="2" borderId="5" xfId="0" applyFont="1" applyFill="1" applyBorder="1" applyAlignment="1">
      <alignment vertical="center"/>
    </xf>
    <xf numFmtId="0" fontId="24" fillId="2" borderId="13" xfId="0" applyFont="1" applyFill="1" applyBorder="1" applyAlignment="1">
      <alignment vertical="center"/>
    </xf>
    <xf numFmtId="0" fontId="16" fillId="0" borderId="14" xfId="0" applyFont="1" applyBorder="1" applyAlignment="1">
      <alignment vertical="center"/>
    </xf>
    <xf numFmtId="0" fontId="21" fillId="0" borderId="14" xfId="0" applyFont="1" applyBorder="1" applyAlignment="1">
      <alignment horizontal="left" vertical="center"/>
    </xf>
    <xf numFmtId="179" fontId="6" fillId="0" borderId="15" xfId="0" applyNumberFormat="1" applyFont="1" applyBorder="1" applyAlignment="1">
      <alignment horizontal="right" vertical="center"/>
    </xf>
    <xf numFmtId="179" fontId="6" fillId="0" borderId="16" xfId="0" applyNumberFormat="1" applyFont="1" applyBorder="1" applyAlignment="1">
      <alignment horizontal="right" vertical="center"/>
    </xf>
    <xf numFmtId="0" fontId="18" fillId="3" borderId="0" xfId="0" applyFont="1" applyFill="1" applyAlignment="1">
      <alignment vertical="center"/>
    </xf>
    <xf numFmtId="0" fontId="5" fillId="3" borderId="2" xfId="0" applyFont="1" applyFill="1" applyBorder="1" applyAlignment="1">
      <alignment vertical="center"/>
    </xf>
    <xf numFmtId="0" fontId="13" fillId="3" borderId="3" xfId="0" applyFont="1" applyFill="1" applyBorder="1" applyAlignment="1">
      <alignment vertical="center"/>
    </xf>
    <xf numFmtId="0" fontId="16" fillId="3" borderId="3" xfId="0" applyFont="1" applyFill="1" applyBorder="1" applyAlignment="1">
      <alignment vertical="center"/>
    </xf>
    <xf numFmtId="179" fontId="25" fillId="3" borderId="3" xfId="0" applyNumberFormat="1" applyFont="1" applyFill="1" applyBorder="1" applyAlignment="1">
      <alignment horizontal="right" vertical="center"/>
    </xf>
    <xf numFmtId="0" fontId="25" fillId="3" borderId="3" xfId="0" applyFont="1" applyFill="1" applyBorder="1" applyAlignment="1">
      <alignment horizontal="left" vertical="center"/>
    </xf>
    <xf numFmtId="179" fontId="21" fillId="3" borderId="3" xfId="0" applyNumberFormat="1" applyFont="1" applyFill="1" applyBorder="1" applyAlignment="1">
      <alignment horizontal="right" vertical="center"/>
    </xf>
    <xf numFmtId="179" fontId="5" fillId="3" borderId="4" xfId="0" applyNumberFormat="1" applyFont="1" applyFill="1" applyBorder="1" applyAlignment="1">
      <alignment horizontal="right" vertical="center"/>
    </xf>
    <xf numFmtId="179" fontId="5" fillId="3" borderId="0" xfId="0" applyNumberFormat="1" applyFont="1" applyFill="1" applyAlignment="1">
      <alignment horizontal="right" vertical="center"/>
    </xf>
    <xf numFmtId="0" fontId="13" fillId="3" borderId="0" xfId="2" applyFont="1" applyFill="1" applyAlignment="1">
      <alignment vertical="center"/>
    </xf>
    <xf numFmtId="179" fontId="6" fillId="3" borderId="1" xfId="0" applyNumberFormat="1" applyFon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18" fillId="2" borderId="0" xfId="0" applyFont="1" applyFill="1"/>
    <xf numFmtId="0" fontId="5" fillId="2" borderId="0" xfId="0" applyFont="1" applyFill="1"/>
    <xf numFmtId="0" fontId="13" fillId="2" borderId="0" xfId="0" applyFont="1" applyFill="1"/>
    <xf numFmtId="0" fontId="24" fillId="0" borderId="0" xfId="0" applyFont="1"/>
    <xf numFmtId="179" fontId="15" fillId="0" borderId="0" xfId="0" applyNumberFormat="1" applyFont="1" applyAlignment="1">
      <alignment horizontal="right"/>
    </xf>
    <xf numFmtId="0" fontId="18" fillId="0" borderId="0" xfId="0" applyFont="1" applyAlignment="1">
      <alignment horizontal="left"/>
    </xf>
    <xf numFmtId="3" fontId="18" fillId="0" borderId="0" xfId="0" applyNumberFormat="1" applyFont="1" applyAlignment="1">
      <alignment horizontal="left"/>
    </xf>
    <xf numFmtId="179" fontId="18" fillId="0" borderId="0" xfId="0" applyNumberFormat="1" applyFont="1" applyAlignment="1">
      <alignment horizontal="center"/>
    </xf>
    <xf numFmtId="179" fontId="15" fillId="0" borderId="0" xfId="0" applyNumberFormat="1" applyFont="1" applyAlignment="1">
      <alignment horizontal="center"/>
    </xf>
    <xf numFmtId="0" fontId="26" fillId="0" borderId="0" xfId="2" applyFont="1" applyAlignment="1">
      <alignment horizontal="center"/>
    </xf>
    <xf numFmtId="38" fontId="18" fillId="0" borderId="0" xfId="0" applyNumberFormat="1" applyFont="1" applyAlignment="1">
      <alignment horizontal="center" vertical="center"/>
    </xf>
    <xf numFmtId="0" fontId="18" fillId="0" borderId="0" xfId="0" applyFont="1"/>
    <xf numFmtId="0" fontId="2" fillId="4" borderId="0" xfId="0" applyFont="1" applyFill="1"/>
    <xf numFmtId="0" fontId="5" fillId="4" borderId="0" xfId="0" applyFont="1" applyFill="1"/>
    <xf numFmtId="0" fontId="11" fillId="4" borderId="0" xfId="0" applyFont="1" applyFill="1"/>
    <xf numFmtId="0" fontId="23" fillId="4" borderId="0" xfId="0" applyFont="1" applyFill="1"/>
    <xf numFmtId="38" fontId="23" fillId="4" borderId="0" xfId="0" applyNumberFormat="1" applyFont="1" applyFill="1"/>
    <xf numFmtId="176" fontId="2" fillId="4" borderId="0" xfId="0" applyNumberFormat="1" applyFont="1" applyFill="1"/>
    <xf numFmtId="38" fontId="2" fillId="4" borderId="0" xfId="0" applyNumberFormat="1" applyFont="1" applyFill="1"/>
    <xf numFmtId="0" fontId="13" fillId="4" borderId="0" xfId="2" applyFont="1" applyFill="1"/>
    <xf numFmtId="179" fontId="27" fillId="4" borderId="0" xfId="2" applyNumberFormat="1" applyFont="1" applyFill="1" applyAlignment="1">
      <alignment vertical="top"/>
    </xf>
    <xf numFmtId="0" fontId="7" fillId="4" borderId="0" xfId="0" applyFont="1" applyFill="1"/>
    <xf numFmtId="0" fontId="28" fillId="2" borderId="0" xfId="0" applyFont="1" applyFill="1"/>
    <xf numFmtId="0" fontId="28" fillId="2" borderId="17" xfId="0" applyFont="1" applyFill="1" applyBorder="1" applyAlignment="1">
      <alignment horizontal="center" vertical="center"/>
    </xf>
    <xf numFmtId="0" fontId="28" fillId="2" borderId="18" xfId="0" applyFont="1" applyFill="1" applyBorder="1" applyAlignment="1">
      <alignment horizontal="center" vertical="center"/>
    </xf>
    <xf numFmtId="0" fontId="28" fillId="0" borderId="19" xfId="0" applyFont="1" applyBorder="1" applyAlignment="1">
      <alignment horizontal="center" vertical="center" wrapText="1"/>
    </xf>
    <xf numFmtId="0" fontId="28" fillId="0" borderId="0" xfId="0" applyFont="1" applyAlignment="1">
      <alignment horizontal="left"/>
    </xf>
    <xf numFmtId="176" fontId="28" fillId="0" borderId="0" xfId="0" applyNumberFormat="1" applyFont="1" applyAlignment="1">
      <alignment horizontal="center"/>
    </xf>
    <xf numFmtId="0" fontId="28" fillId="0" borderId="0" xfId="0" applyFont="1"/>
    <xf numFmtId="38" fontId="28" fillId="0" borderId="0" xfId="0" applyNumberFormat="1" applyFont="1" applyAlignment="1">
      <alignment horizontal="left"/>
    </xf>
    <xf numFmtId="0" fontId="28" fillId="0" borderId="0" xfId="0" applyFont="1" applyAlignment="1">
      <alignment horizontal="center"/>
    </xf>
    <xf numFmtId="0" fontId="13" fillId="0" borderId="0" xfId="2" applyFont="1"/>
    <xf numFmtId="0" fontId="29" fillId="2" borderId="0" xfId="0" applyFont="1" applyFill="1"/>
    <xf numFmtId="0" fontId="2" fillId="2" borderId="9" xfId="0" applyFont="1" applyFill="1" applyBorder="1" applyAlignment="1">
      <alignment horizontal="right"/>
    </xf>
    <xf numFmtId="0" fontId="15" fillId="2" borderId="10" xfId="0" applyFont="1" applyFill="1" applyBorder="1" applyAlignment="1">
      <alignment horizontal="right"/>
    </xf>
    <xf numFmtId="0" fontId="15" fillId="0" borderId="10" xfId="0" applyFont="1" applyBorder="1" applyAlignment="1">
      <alignment horizontal="left"/>
    </xf>
    <xf numFmtId="179" fontId="18" fillId="0" borderId="11" xfId="0" applyNumberFormat="1" applyFont="1" applyBorder="1" applyAlignment="1">
      <alignment horizontal="center"/>
    </xf>
    <xf numFmtId="180" fontId="15" fillId="0" borderId="0" xfId="0" applyNumberFormat="1" applyFont="1" applyAlignment="1">
      <alignment horizontal="center"/>
    </xf>
    <xf numFmtId="179" fontId="30" fillId="0" borderId="0" xfId="0" applyNumberFormat="1" applyFont="1" applyAlignment="1">
      <alignment horizontal="center"/>
    </xf>
    <xf numFmtId="0" fontId="15" fillId="0" borderId="0" xfId="0" applyFont="1" applyAlignment="1">
      <alignment horizontal="center" wrapText="1"/>
    </xf>
    <xf numFmtId="179" fontId="15" fillId="0" borderId="11" xfId="0" applyNumberFormat="1" applyFont="1" applyBorder="1" applyAlignment="1">
      <alignment horizontal="center"/>
    </xf>
    <xf numFmtId="0" fontId="19" fillId="2" borderId="9" xfId="0" applyFont="1" applyFill="1" applyBorder="1" applyAlignment="1">
      <alignment horizontal="right"/>
    </xf>
    <xf numFmtId="0" fontId="31" fillId="0" borderId="10" xfId="0" applyFont="1" applyBorder="1" applyAlignment="1">
      <alignment horizontal="left"/>
    </xf>
    <xf numFmtId="0" fontId="18" fillId="0" borderId="0" xfId="0" applyFont="1" applyAlignment="1">
      <alignment horizontal="right" wrapText="1"/>
    </xf>
    <xf numFmtId="0" fontId="6" fillId="0" borderId="0" xfId="0" applyFont="1" applyAlignment="1">
      <alignment horizontal="right"/>
    </xf>
    <xf numFmtId="181" fontId="32" fillId="0" borderId="0" xfId="0" applyNumberFormat="1" applyFont="1" applyAlignment="1">
      <alignment horizontal="center"/>
    </xf>
    <xf numFmtId="0" fontId="19" fillId="2" borderId="20" xfId="0" applyFont="1" applyFill="1" applyBorder="1" applyAlignment="1">
      <alignment horizontal="right"/>
    </xf>
    <xf numFmtId="0" fontId="15" fillId="2" borderId="21" xfId="0" applyFont="1" applyFill="1" applyBorder="1" applyAlignment="1">
      <alignment horizontal="right"/>
    </xf>
    <xf numFmtId="0" fontId="15" fillId="0" borderId="21" xfId="0" applyFont="1" applyBorder="1" applyAlignment="1">
      <alignment horizontal="left" shrinkToFit="1"/>
    </xf>
    <xf numFmtId="179" fontId="15" fillId="0" borderId="22" xfId="0" applyNumberFormat="1" applyFont="1" applyBorder="1" applyAlignment="1">
      <alignment horizontal="center"/>
    </xf>
    <xf numFmtId="0" fontId="28" fillId="0" borderId="19" xfId="0" applyFont="1" applyBorder="1" applyAlignment="1">
      <alignment horizontal="center" wrapText="1"/>
    </xf>
    <xf numFmtId="0" fontId="33" fillId="0" borderId="0" xfId="0" applyFont="1" applyAlignment="1">
      <alignment horizontal="center" vertical="center"/>
    </xf>
    <xf numFmtId="180" fontId="34" fillId="0" borderId="0" xfId="0" applyNumberFormat="1" applyFont="1" applyAlignment="1">
      <alignment horizontal="left" vertical="center"/>
    </xf>
    <xf numFmtId="0" fontId="2" fillId="0" borderId="1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77" fontId="6" fillId="0" borderId="1" xfId="0" applyNumberFormat="1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</cellXfs>
  <cellStyles count="3">
    <cellStyle name="桁区切り 2" xfId="1" xr:uid="{00000000-0005-0000-0000-000006000000}"/>
    <cellStyle name="標準" xfId="0" builtinId="0"/>
    <cellStyle name="標準_加古川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8080"/>
      <rgbColor rgb="FF0066F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FF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127440</xdr:colOff>
      <xdr:row>11</xdr:row>
      <xdr:rowOff>0</xdr:rowOff>
    </xdr:from>
    <xdr:to>
      <xdr:col>7</xdr:col>
      <xdr:colOff>311760</xdr:colOff>
      <xdr:row>12</xdr:row>
      <xdr:rowOff>54720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251240" y="2533680"/>
          <a:ext cx="184320" cy="264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11</xdr:col>
      <xdr:colOff>14040</xdr:colOff>
      <xdr:row>2</xdr:row>
      <xdr:rowOff>295200</xdr:rowOff>
    </xdr:from>
    <xdr:to>
      <xdr:col>11</xdr:col>
      <xdr:colOff>1027800</xdr:colOff>
      <xdr:row>16</xdr:row>
      <xdr:rowOff>28440</xdr:rowOff>
    </xdr:to>
    <xdr:sp macro="" textlink="">
      <xdr:nvSpPr>
        <xdr:cNvPr id="3" name="四角形: 角を丸くする 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929280" y="799920"/>
          <a:ext cx="1013760" cy="2809800"/>
        </a:xfrm>
        <a:prstGeom prst="roundRect">
          <a:avLst>
            <a:gd name="adj" fmla="val 16667"/>
          </a:avLst>
        </a:prstGeom>
        <a:noFill/>
        <a:ln w="38100">
          <a:solidFill>
            <a:srgbClr val="FF0000"/>
          </a:solidFill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absolute">
    <xdr:from>
      <xdr:col>15</xdr:col>
      <xdr:colOff>181080</xdr:colOff>
      <xdr:row>2</xdr:row>
      <xdr:rowOff>295200</xdr:rowOff>
    </xdr:from>
    <xdr:to>
      <xdr:col>15</xdr:col>
      <xdr:colOff>1194840</xdr:colOff>
      <xdr:row>16</xdr:row>
      <xdr:rowOff>28440</xdr:rowOff>
    </xdr:to>
    <xdr:sp macro="" textlink="">
      <xdr:nvSpPr>
        <xdr:cNvPr id="4" name="四角形: 角を丸くする 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449920" y="799920"/>
          <a:ext cx="1013760" cy="2809800"/>
        </a:xfrm>
        <a:prstGeom prst="roundRect">
          <a:avLst>
            <a:gd name="adj" fmla="val 16667"/>
          </a:avLst>
        </a:prstGeom>
        <a:noFill/>
        <a:ln w="38100">
          <a:solidFill>
            <a:srgbClr val="FF0000"/>
          </a:solidFill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absolute">
    <xdr:from>
      <xdr:col>0</xdr:col>
      <xdr:colOff>190440</xdr:colOff>
      <xdr:row>21</xdr:row>
      <xdr:rowOff>9360</xdr:rowOff>
    </xdr:from>
    <xdr:to>
      <xdr:col>6</xdr:col>
      <xdr:colOff>714600</xdr:colOff>
      <xdr:row>33</xdr:row>
      <xdr:rowOff>94680</xdr:rowOff>
    </xdr:to>
    <xdr:sp macro="" textlink="">
      <xdr:nvSpPr>
        <xdr:cNvPr id="5" name="四角形: 角を丸くする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90440" y="4800600"/>
          <a:ext cx="3918240" cy="1685520"/>
        </a:xfrm>
        <a:prstGeom prst="roundRect">
          <a:avLst>
            <a:gd name="adj" fmla="val 16667"/>
          </a:avLst>
        </a:prstGeom>
        <a:noFill/>
        <a:ln w="38100">
          <a:solidFill>
            <a:srgbClr val="0066FF"/>
          </a:solidFill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absolute">
    <xdr:from>
      <xdr:col>6</xdr:col>
      <xdr:colOff>693720</xdr:colOff>
      <xdr:row>23</xdr:row>
      <xdr:rowOff>96120</xdr:rowOff>
    </xdr:from>
    <xdr:to>
      <xdr:col>7</xdr:col>
      <xdr:colOff>618480</xdr:colOff>
      <xdr:row>25</xdr:row>
      <xdr:rowOff>37800</xdr:rowOff>
    </xdr:to>
    <xdr:sp macro="" textlink="">
      <xdr:nvSpPr>
        <xdr:cNvPr id="6" name="直線矢印コネクタ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 flipH="1">
          <a:off x="4087800" y="5287320"/>
          <a:ext cx="654480" cy="34164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50">
          <a:solidFill>
            <a:srgbClr val="0066FF"/>
          </a:solidFill>
          <a:round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absolute">
    <xdr:from>
      <xdr:col>7</xdr:col>
      <xdr:colOff>651600</xdr:colOff>
      <xdr:row>22</xdr:row>
      <xdr:rowOff>133560</xdr:rowOff>
    </xdr:from>
    <xdr:to>
      <xdr:col>8</xdr:col>
      <xdr:colOff>459000</xdr:colOff>
      <xdr:row>24</xdr:row>
      <xdr:rowOff>78840</xdr:rowOff>
    </xdr:to>
    <xdr:sp macro="" textlink="">
      <xdr:nvSpPr>
        <xdr:cNvPr id="7" name="テキスト ボックス 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775400" y="5124600"/>
          <a:ext cx="536760" cy="34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wrap="none" lIns="90000" tIns="45000" rIns="90000" bIns="45000" anchor="t">
          <a:spAutoFit/>
        </a:bodyPr>
        <a:lstStyle/>
        <a:p>
          <a:pPr>
            <a:lnSpc>
              <a:spcPct val="100000"/>
            </a:lnSpc>
          </a:pPr>
          <a:r>
            <a:rPr lang="ja-JP" sz="1400" b="1" strike="noStrike" spc="-1">
              <a:solidFill>
                <a:srgbClr val="0066FF"/>
              </a:solidFill>
              <a:latin typeface="Calibri"/>
            </a:rPr>
            <a:t>転記</a:t>
          </a:r>
          <a:endParaRPr lang="en-US" sz="1400" b="0" strike="noStrike" spc="-1">
            <a:latin typeface="Noto Serif CJK JP"/>
          </a:endParaRPr>
        </a:p>
      </xdr:txBody>
    </xdr:sp>
    <xdr:clientData/>
  </xdr:twoCellAnchor>
  <xdr:twoCellAnchor editAs="absolute">
    <xdr:from>
      <xdr:col>11</xdr:col>
      <xdr:colOff>227880</xdr:colOff>
      <xdr:row>20</xdr:row>
      <xdr:rowOff>66600</xdr:rowOff>
    </xdr:from>
    <xdr:to>
      <xdr:col>11</xdr:col>
      <xdr:colOff>764640</xdr:colOff>
      <xdr:row>21</xdr:row>
      <xdr:rowOff>78480</xdr:rowOff>
    </xdr:to>
    <xdr:sp macro="" textlink="">
      <xdr:nvSpPr>
        <xdr:cNvPr id="8" name="テキスト ボックス 1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7143120" y="4524480"/>
          <a:ext cx="536760" cy="34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wrap="none" lIns="90000" tIns="45000" rIns="90000" bIns="45000" anchor="t">
          <a:spAutoFit/>
        </a:bodyPr>
        <a:lstStyle/>
        <a:p>
          <a:pPr>
            <a:lnSpc>
              <a:spcPct val="100000"/>
            </a:lnSpc>
          </a:pPr>
          <a:r>
            <a:rPr lang="ja-JP" sz="1400" b="1" strike="noStrike" spc="-1">
              <a:solidFill>
                <a:srgbClr val="FF0000"/>
              </a:solidFill>
              <a:latin typeface="Calibri"/>
            </a:rPr>
            <a:t>集計</a:t>
          </a:r>
          <a:endParaRPr lang="en-US" sz="1400" b="0" strike="noStrike" spc="-1">
            <a:latin typeface="Noto Serif CJK JP"/>
          </a:endParaRPr>
        </a:p>
      </xdr:txBody>
    </xdr:sp>
    <xdr:clientData/>
  </xdr:twoCellAnchor>
  <xdr:twoCellAnchor>
    <xdr:from>
      <xdr:col>11</xdr:col>
      <xdr:colOff>419040</xdr:colOff>
      <xdr:row>16</xdr:row>
      <xdr:rowOff>18720</xdr:rowOff>
    </xdr:from>
    <xdr:to>
      <xdr:col>11</xdr:col>
      <xdr:colOff>437760</xdr:colOff>
      <xdr:row>20</xdr:row>
      <xdr:rowOff>46800</xdr:rowOff>
    </xdr:to>
    <xdr:sp macro="" textlink="">
      <xdr:nvSpPr>
        <xdr:cNvPr id="9" name="直線矢印コネクタ 1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 flipV="1">
          <a:off x="7334280" y="3599640"/>
          <a:ext cx="18720" cy="90468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50">
          <a:solidFill>
            <a:srgbClr val="FF0000"/>
          </a:solidFill>
          <a:round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11</xdr:col>
      <xdr:colOff>428760</xdr:colOff>
      <xdr:row>16</xdr:row>
      <xdr:rowOff>18720</xdr:rowOff>
    </xdr:from>
    <xdr:to>
      <xdr:col>15</xdr:col>
      <xdr:colOff>590400</xdr:colOff>
      <xdr:row>20</xdr:row>
      <xdr:rowOff>37440</xdr:rowOff>
    </xdr:to>
    <xdr:sp macro="" textlink="">
      <xdr:nvSpPr>
        <xdr:cNvPr id="10" name="直線矢印コネクタ 1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 flipV="1">
          <a:off x="7344000" y="3599640"/>
          <a:ext cx="1515240" cy="89532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50">
          <a:solidFill>
            <a:srgbClr val="FF0000"/>
          </a:solidFill>
          <a:round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9</xdr:col>
      <xdr:colOff>485640</xdr:colOff>
      <xdr:row>23</xdr:row>
      <xdr:rowOff>142920</xdr:rowOff>
    </xdr:from>
    <xdr:to>
      <xdr:col>9</xdr:col>
      <xdr:colOff>669960</xdr:colOff>
      <xdr:row>25</xdr:row>
      <xdr:rowOff>54000</xdr:rowOff>
    </xdr:to>
    <xdr:sp macro="" textlink="">
      <xdr:nvSpPr>
        <xdr:cNvPr id="11" name="テキスト ボックス 1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195600" y="5334120"/>
          <a:ext cx="184320" cy="3110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3</xdr:col>
      <xdr:colOff>46080</xdr:colOff>
      <xdr:row>4</xdr:row>
      <xdr:rowOff>95040</xdr:rowOff>
    </xdr:from>
    <xdr:to>
      <xdr:col>5</xdr:col>
      <xdr:colOff>371160</xdr:colOff>
      <xdr:row>7</xdr:row>
      <xdr:rowOff>132840</xdr:rowOff>
    </xdr:to>
    <xdr:sp macro="" textlink="">
      <xdr:nvSpPr>
        <xdr:cNvPr id="12" name="四角形: 角を丸くする 1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039680" y="1114200"/>
          <a:ext cx="1995840" cy="666360"/>
        </a:xfrm>
        <a:prstGeom prst="roundRect">
          <a:avLst>
            <a:gd name="adj" fmla="val 16667"/>
          </a:avLst>
        </a:prstGeom>
        <a:solidFill>
          <a:srgbClr val="FFFFFF"/>
        </a:solidFill>
        <a:ln>
          <a:solidFill>
            <a:srgbClr val="F79646"/>
          </a:solidFill>
          <a:round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400" b="1" strike="noStrike" spc="-1">
              <a:solidFill>
                <a:srgbClr val="FF0000"/>
              </a:solidFill>
              <a:latin typeface="Calibri"/>
            </a:rPr>
            <a:t>"</a:t>
          </a:r>
          <a:r>
            <a:rPr lang="ja-JP" sz="1400" b="1" strike="noStrike" spc="-1">
              <a:solidFill>
                <a:srgbClr val="FF0000"/>
              </a:solidFill>
              <a:latin typeface="Calibri"/>
            </a:rPr>
            <a:t>キーワード項目列</a:t>
          </a:r>
          <a:r>
            <a:rPr lang="en-US" sz="1400" b="1" strike="noStrike" spc="-1">
              <a:solidFill>
                <a:srgbClr val="FF0000"/>
              </a:solidFill>
              <a:latin typeface="Calibri"/>
            </a:rPr>
            <a:t>":</a:t>
          </a:r>
          <a:endParaRPr lang="en-US" sz="1400" b="0" strike="noStrike" spc="-1">
            <a:latin typeface="Noto Serif CJK JP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400" b="1" strike="noStrike" spc="-1">
              <a:solidFill>
                <a:srgbClr val="FF0000"/>
              </a:solidFill>
              <a:latin typeface="Calibri"/>
            </a:rPr>
            <a:t>["A", "B", "C"]</a:t>
          </a:r>
          <a:endParaRPr lang="en-US" sz="1400" b="0" strike="noStrike" spc="-1">
            <a:latin typeface="Noto Serif CJK JP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endParaRPr lang="en-US" sz="1100" b="0" strike="noStrike" spc="-1">
            <a:latin typeface="Noto Serif CJK JP"/>
          </a:endParaRPr>
        </a:p>
      </xdr:txBody>
    </xdr:sp>
    <xdr:clientData/>
  </xdr:twoCellAnchor>
  <xdr:twoCellAnchor editAs="absolute">
    <xdr:from>
      <xdr:col>1</xdr:col>
      <xdr:colOff>273960</xdr:colOff>
      <xdr:row>0</xdr:row>
      <xdr:rowOff>161640</xdr:rowOff>
    </xdr:from>
    <xdr:to>
      <xdr:col>3</xdr:col>
      <xdr:colOff>306720</xdr:colOff>
      <xdr:row>4</xdr:row>
      <xdr:rowOff>56520</xdr:rowOff>
    </xdr:to>
    <xdr:sp macro="" textlink="">
      <xdr:nvSpPr>
        <xdr:cNvPr id="13" name="直線矢印コネクタ 1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 flipH="1" flipV="1">
          <a:off x="495720" y="161280"/>
          <a:ext cx="804240" cy="91404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50">
          <a:solidFill>
            <a:srgbClr val="C00000"/>
          </a:solidFill>
          <a:round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absolute">
    <xdr:from>
      <xdr:col>0</xdr:col>
      <xdr:colOff>57240</xdr:colOff>
      <xdr:row>0</xdr:row>
      <xdr:rowOff>28440</xdr:rowOff>
    </xdr:from>
    <xdr:to>
      <xdr:col>2</xdr:col>
      <xdr:colOff>289800</xdr:colOff>
      <xdr:row>0</xdr:row>
      <xdr:rowOff>161280</xdr:rowOff>
    </xdr:to>
    <xdr:sp macro="" textlink="">
      <xdr:nvSpPr>
        <xdr:cNvPr id="14" name="右中かっこ 18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 rot="5400000">
          <a:off x="429480" y="-343800"/>
          <a:ext cx="132840" cy="877680"/>
        </a:xfrm>
        <a:prstGeom prst="rightBrace">
          <a:avLst>
            <a:gd name="adj1" fmla="val 8333"/>
            <a:gd name="adj2" fmla="val 50000"/>
          </a:avLst>
        </a:prstGeom>
        <a:noFill/>
        <a:ln w="25400">
          <a:solidFill>
            <a:srgbClr val="BE4B48"/>
          </a:solidFill>
          <a:round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127440</xdr:colOff>
      <xdr:row>11</xdr:row>
      <xdr:rowOff>0</xdr:rowOff>
    </xdr:from>
    <xdr:to>
      <xdr:col>7</xdr:col>
      <xdr:colOff>311760</xdr:colOff>
      <xdr:row>12</xdr:row>
      <xdr:rowOff>54720</xdr:rowOff>
    </xdr:to>
    <xdr:sp macro="" textlink="">
      <xdr:nvSpPr>
        <xdr:cNvPr id="13" name="テキスト ボックス 1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4251240" y="2533680"/>
          <a:ext cx="184320" cy="264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466560</xdr:colOff>
      <xdr:row>16</xdr:row>
      <xdr:rowOff>28080</xdr:rowOff>
    </xdr:from>
    <xdr:to>
      <xdr:col>11</xdr:col>
      <xdr:colOff>485280</xdr:colOff>
      <xdr:row>20</xdr:row>
      <xdr:rowOff>56160</xdr:rowOff>
    </xdr:to>
    <xdr:sp macro="" textlink="">
      <xdr:nvSpPr>
        <xdr:cNvPr id="14" name="直線矢印コネクタ 7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 flipV="1">
          <a:off x="7381800" y="3609000"/>
          <a:ext cx="18720" cy="90468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50">
          <a:solidFill>
            <a:srgbClr val="FF0000"/>
          </a:solidFill>
          <a:round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11</xdr:col>
      <xdr:colOff>476280</xdr:colOff>
      <xdr:row>16</xdr:row>
      <xdr:rowOff>28080</xdr:rowOff>
    </xdr:from>
    <xdr:to>
      <xdr:col>15</xdr:col>
      <xdr:colOff>637920</xdr:colOff>
      <xdr:row>20</xdr:row>
      <xdr:rowOff>46800</xdr:rowOff>
    </xdr:to>
    <xdr:sp macro="" textlink="">
      <xdr:nvSpPr>
        <xdr:cNvPr id="15" name="直線矢印コネクタ 8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 flipV="1">
          <a:off x="7391520" y="3609000"/>
          <a:ext cx="1515240" cy="89532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50">
          <a:solidFill>
            <a:srgbClr val="FF0000"/>
          </a:solidFill>
          <a:round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absolute">
    <xdr:from>
      <xdr:col>11</xdr:col>
      <xdr:colOff>25200</xdr:colOff>
      <xdr:row>2</xdr:row>
      <xdr:rowOff>295200</xdr:rowOff>
    </xdr:from>
    <xdr:to>
      <xdr:col>11</xdr:col>
      <xdr:colOff>1041840</xdr:colOff>
      <xdr:row>16</xdr:row>
      <xdr:rowOff>28080</xdr:rowOff>
    </xdr:to>
    <xdr:sp macro="" textlink="">
      <xdr:nvSpPr>
        <xdr:cNvPr id="16" name="四角形: 角を丸くする 2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6940440" y="799920"/>
          <a:ext cx="1016640" cy="2809440"/>
        </a:xfrm>
        <a:prstGeom prst="roundRect">
          <a:avLst>
            <a:gd name="adj" fmla="val 16667"/>
          </a:avLst>
        </a:prstGeom>
        <a:noFill/>
        <a:ln w="38100">
          <a:solidFill>
            <a:srgbClr val="FF0000"/>
          </a:solidFill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absolute">
    <xdr:from>
      <xdr:col>15</xdr:col>
      <xdr:colOff>197280</xdr:colOff>
      <xdr:row>2</xdr:row>
      <xdr:rowOff>295200</xdr:rowOff>
    </xdr:from>
    <xdr:to>
      <xdr:col>16</xdr:col>
      <xdr:colOff>18720</xdr:colOff>
      <xdr:row>16</xdr:row>
      <xdr:rowOff>28080</xdr:rowOff>
    </xdr:to>
    <xdr:sp macro="" textlink="">
      <xdr:nvSpPr>
        <xdr:cNvPr id="17" name="四角形: 角を丸くする 3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8466120" y="799920"/>
          <a:ext cx="1016640" cy="2809440"/>
        </a:xfrm>
        <a:prstGeom prst="roundRect">
          <a:avLst>
            <a:gd name="adj" fmla="val 16667"/>
          </a:avLst>
        </a:prstGeom>
        <a:noFill/>
        <a:ln w="38100">
          <a:solidFill>
            <a:srgbClr val="FF0000"/>
          </a:solidFill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absolute">
    <xdr:from>
      <xdr:col>0</xdr:col>
      <xdr:colOff>181080</xdr:colOff>
      <xdr:row>21</xdr:row>
      <xdr:rowOff>0</xdr:rowOff>
    </xdr:from>
    <xdr:to>
      <xdr:col>6</xdr:col>
      <xdr:colOff>717120</xdr:colOff>
      <xdr:row>33</xdr:row>
      <xdr:rowOff>85320</xdr:rowOff>
    </xdr:to>
    <xdr:sp macro="" textlink="">
      <xdr:nvSpPr>
        <xdr:cNvPr id="18" name="四角形: 角を丸くする 4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181080" y="4800600"/>
          <a:ext cx="3930120" cy="1685520"/>
        </a:xfrm>
        <a:prstGeom prst="roundRect">
          <a:avLst>
            <a:gd name="adj" fmla="val 16667"/>
          </a:avLst>
        </a:prstGeom>
        <a:noFill/>
        <a:ln w="38100">
          <a:solidFill>
            <a:srgbClr val="0066FF"/>
          </a:solidFill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absolute">
    <xdr:from>
      <xdr:col>6</xdr:col>
      <xdr:colOff>696240</xdr:colOff>
      <xdr:row>23</xdr:row>
      <xdr:rowOff>86760</xdr:rowOff>
    </xdr:from>
    <xdr:to>
      <xdr:col>7</xdr:col>
      <xdr:colOff>623160</xdr:colOff>
      <xdr:row>25</xdr:row>
      <xdr:rowOff>28080</xdr:rowOff>
    </xdr:to>
    <xdr:sp macro="" textlink="">
      <xdr:nvSpPr>
        <xdr:cNvPr id="19" name="直線矢印コネクタ 13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 flipH="1">
          <a:off x="4090320" y="5287320"/>
          <a:ext cx="656640" cy="34164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50">
          <a:solidFill>
            <a:srgbClr val="0066FF"/>
          </a:solidFill>
          <a:round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absolute">
    <xdr:from>
      <xdr:col>7</xdr:col>
      <xdr:colOff>657360</xdr:colOff>
      <xdr:row>22</xdr:row>
      <xdr:rowOff>123840</xdr:rowOff>
    </xdr:from>
    <xdr:to>
      <xdr:col>8</xdr:col>
      <xdr:colOff>464760</xdr:colOff>
      <xdr:row>24</xdr:row>
      <xdr:rowOff>69120</xdr:rowOff>
    </xdr:to>
    <xdr:sp macro="" textlink="">
      <xdr:nvSpPr>
        <xdr:cNvPr id="20" name="テキスト ボックス 17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4781160" y="5124600"/>
          <a:ext cx="536760" cy="34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wrap="none" lIns="90000" tIns="45000" rIns="90000" bIns="45000" anchor="t">
          <a:spAutoFit/>
        </a:bodyPr>
        <a:lstStyle/>
        <a:p>
          <a:pPr>
            <a:lnSpc>
              <a:spcPct val="100000"/>
            </a:lnSpc>
          </a:pPr>
          <a:r>
            <a:rPr lang="ja-JP" sz="1400" b="1" strike="noStrike" spc="-1">
              <a:solidFill>
                <a:srgbClr val="0066FF"/>
              </a:solidFill>
              <a:latin typeface="Calibri"/>
            </a:rPr>
            <a:t>転記</a:t>
          </a:r>
          <a:endParaRPr lang="en-US" sz="1400" b="0" strike="noStrike" spc="-1">
            <a:latin typeface="Noto Serif CJK JP"/>
          </a:endParaRPr>
        </a:p>
      </xdr:txBody>
    </xdr:sp>
    <xdr:clientData/>
  </xdr:twoCellAnchor>
  <xdr:twoCellAnchor editAs="absolute">
    <xdr:from>
      <xdr:col>11</xdr:col>
      <xdr:colOff>239760</xdr:colOff>
      <xdr:row>20</xdr:row>
      <xdr:rowOff>66600</xdr:rowOff>
    </xdr:from>
    <xdr:to>
      <xdr:col>11</xdr:col>
      <xdr:colOff>776520</xdr:colOff>
      <xdr:row>21</xdr:row>
      <xdr:rowOff>69120</xdr:rowOff>
    </xdr:to>
    <xdr:sp macro="" textlink="">
      <xdr:nvSpPr>
        <xdr:cNvPr id="21" name="テキスト ボックス 18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7155000" y="4524480"/>
          <a:ext cx="536760" cy="34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wrap="none" lIns="90000" tIns="45000" rIns="90000" bIns="45000" anchor="t">
          <a:spAutoFit/>
        </a:bodyPr>
        <a:lstStyle/>
        <a:p>
          <a:pPr>
            <a:lnSpc>
              <a:spcPct val="100000"/>
            </a:lnSpc>
          </a:pPr>
          <a:r>
            <a:rPr lang="ja-JP" sz="1400" b="1" strike="noStrike" spc="-1">
              <a:solidFill>
                <a:srgbClr val="FF0000"/>
              </a:solidFill>
              <a:latin typeface="Calibri"/>
            </a:rPr>
            <a:t>集計</a:t>
          </a:r>
          <a:endParaRPr lang="en-US" sz="1400" b="0" strike="noStrike" spc="-1">
            <a:latin typeface="Noto Serif CJK JP"/>
          </a:endParaRPr>
        </a:p>
      </xdr:txBody>
    </xdr:sp>
    <xdr:clientData/>
  </xdr:twoCellAnchor>
  <xdr:twoCellAnchor editAs="absolute">
    <xdr:from>
      <xdr:col>3</xdr:col>
      <xdr:colOff>55440</xdr:colOff>
      <xdr:row>4</xdr:row>
      <xdr:rowOff>104760</xdr:rowOff>
    </xdr:from>
    <xdr:to>
      <xdr:col>5</xdr:col>
      <xdr:colOff>380520</xdr:colOff>
      <xdr:row>7</xdr:row>
      <xdr:rowOff>142560</xdr:rowOff>
    </xdr:to>
    <xdr:sp macro="" textlink="">
      <xdr:nvSpPr>
        <xdr:cNvPr id="22" name="四角形: 角を丸くする 25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1049040" y="1123920"/>
          <a:ext cx="1995840" cy="666360"/>
        </a:xfrm>
        <a:prstGeom prst="roundRect">
          <a:avLst>
            <a:gd name="adj" fmla="val 16667"/>
          </a:avLst>
        </a:prstGeom>
        <a:solidFill>
          <a:srgbClr val="FFFFFF"/>
        </a:solidFill>
        <a:ln>
          <a:solidFill>
            <a:srgbClr val="F79646"/>
          </a:solidFill>
          <a:round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400" b="1" strike="noStrike" spc="-1">
              <a:solidFill>
                <a:srgbClr val="FF0000"/>
              </a:solidFill>
              <a:latin typeface="Calibri"/>
            </a:rPr>
            <a:t>"</a:t>
          </a:r>
          <a:r>
            <a:rPr lang="ja-JP" sz="1400" b="1" strike="noStrike" spc="-1">
              <a:solidFill>
                <a:srgbClr val="FF0000"/>
              </a:solidFill>
              <a:latin typeface="Calibri"/>
            </a:rPr>
            <a:t>キーワード項目列</a:t>
          </a:r>
          <a:r>
            <a:rPr lang="en-US" sz="1400" b="1" strike="noStrike" spc="-1">
              <a:solidFill>
                <a:srgbClr val="FF0000"/>
              </a:solidFill>
              <a:latin typeface="Calibri"/>
            </a:rPr>
            <a:t>":</a:t>
          </a:r>
          <a:endParaRPr lang="en-US" sz="1400" b="0" strike="noStrike" spc="-1">
            <a:latin typeface="Noto Serif CJK JP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400" b="1" strike="noStrike" spc="-1">
              <a:solidFill>
                <a:srgbClr val="FF0000"/>
              </a:solidFill>
              <a:latin typeface="Calibri"/>
            </a:rPr>
            <a:t>["A", "B", "C"]</a:t>
          </a:r>
          <a:endParaRPr lang="en-US" sz="1400" b="0" strike="noStrike" spc="-1">
            <a:latin typeface="Noto Serif CJK JP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endParaRPr lang="en-US" sz="1100" b="0" strike="noStrike" spc="-1">
            <a:latin typeface="Noto Serif CJK JP"/>
          </a:endParaRPr>
        </a:p>
      </xdr:txBody>
    </xdr:sp>
    <xdr:clientData/>
  </xdr:twoCellAnchor>
  <xdr:twoCellAnchor editAs="absolute">
    <xdr:from>
      <xdr:col>1</xdr:col>
      <xdr:colOff>283680</xdr:colOff>
      <xdr:row>0</xdr:row>
      <xdr:rowOff>171000</xdr:rowOff>
    </xdr:from>
    <xdr:to>
      <xdr:col>3</xdr:col>
      <xdr:colOff>316440</xdr:colOff>
      <xdr:row>4</xdr:row>
      <xdr:rowOff>65880</xdr:rowOff>
    </xdr:to>
    <xdr:sp macro="" textlink="">
      <xdr:nvSpPr>
        <xdr:cNvPr id="23" name="直線矢印コネクタ 26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 flipH="1" flipV="1">
          <a:off x="505440" y="170640"/>
          <a:ext cx="804240" cy="91404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50">
          <a:solidFill>
            <a:srgbClr val="C00000"/>
          </a:solidFill>
          <a:round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absolute">
    <xdr:from>
      <xdr:col>0</xdr:col>
      <xdr:colOff>66960</xdr:colOff>
      <xdr:row>0</xdr:row>
      <xdr:rowOff>38160</xdr:rowOff>
    </xdr:from>
    <xdr:to>
      <xdr:col>2</xdr:col>
      <xdr:colOff>299520</xdr:colOff>
      <xdr:row>0</xdr:row>
      <xdr:rowOff>171000</xdr:rowOff>
    </xdr:to>
    <xdr:sp macro="" textlink="">
      <xdr:nvSpPr>
        <xdr:cNvPr id="24" name="右中かっこ 27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 rot="5400000">
          <a:off x="439200" y="-334080"/>
          <a:ext cx="132840" cy="877680"/>
        </a:xfrm>
        <a:prstGeom prst="rightBrace">
          <a:avLst>
            <a:gd name="adj1" fmla="val 8333"/>
            <a:gd name="adj2" fmla="val 50000"/>
          </a:avLst>
        </a:prstGeom>
        <a:noFill/>
        <a:ln w="25400">
          <a:solidFill>
            <a:srgbClr val="BE4B48"/>
          </a:solidFill>
          <a:round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127440</xdr:colOff>
      <xdr:row>11</xdr:row>
      <xdr:rowOff>0</xdr:rowOff>
    </xdr:from>
    <xdr:to>
      <xdr:col>7</xdr:col>
      <xdr:colOff>311760</xdr:colOff>
      <xdr:row>12</xdr:row>
      <xdr:rowOff>54720</xdr:rowOff>
    </xdr:to>
    <xdr:sp macro="" textlink="">
      <xdr:nvSpPr>
        <xdr:cNvPr id="25" name="テキスト ボックス 1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4251240" y="2533680"/>
          <a:ext cx="184320" cy="264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11</xdr:col>
      <xdr:colOff>14040</xdr:colOff>
      <xdr:row>2</xdr:row>
      <xdr:rowOff>295200</xdr:rowOff>
    </xdr:from>
    <xdr:to>
      <xdr:col>11</xdr:col>
      <xdr:colOff>942075</xdr:colOff>
      <xdr:row>16</xdr:row>
      <xdr:rowOff>28440</xdr:rowOff>
    </xdr:to>
    <xdr:sp macro="" textlink="">
      <xdr:nvSpPr>
        <xdr:cNvPr id="26" name="四角形: 角を丸くする 3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6929280" y="799920"/>
          <a:ext cx="1013760" cy="2809800"/>
        </a:xfrm>
        <a:prstGeom prst="roundRect">
          <a:avLst>
            <a:gd name="adj" fmla="val 16667"/>
          </a:avLst>
        </a:prstGeom>
        <a:noFill/>
        <a:ln w="38100">
          <a:solidFill>
            <a:srgbClr val="FF0000"/>
          </a:solidFill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absolute">
    <xdr:from>
      <xdr:col>15</xdr:col>
      <xdr:colOff>181080</xdr:colOff>
      <xdr:row>2</xdr:row>
      <xdr:rowOff>295200</xdr:rowOff>
    </xdr:from>
    <xdr:to>
      <xdr:col>16</xdr:col>
      <xdr:colOff>4215</xdr:colOff>
      <xdr:row>16</xdr:row>
      <xdr:rowOff>28440</xdr:rowOff>
    </xdr:to>
    <xdr:sp macro="" textlink="">
      <xdr:nvSpPr>
        <xdr:cNvPr id="27" name="四角形: 角を丸くする 4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8449920" y="799920"/>
          <a:ext cx="1013760" cy="2809800"/>
        </a:xfrm>
        <a:prstGeom prst="roundRect">
          <a:avLst>
            <a:gd name="adj" fmla="val 16667"/>
          </a:avLst>
        </a:prstGeom>
        <a:noFill/>
        <a:ln w="38100">
          <a:solidFill>
            <a:srgbClr val="FF0000"/>
          </a:solidFill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absolute">
    <xdr:from>
      <xdr:col>0</xdr:col>
      <xdr:colOff>190440</xdr:colOff>
      <xdr:row>21</xdr:row>
      <xdr:rowOff>9360</xdr:rowOff>
    </xdr:from>
    <xdr:to>
      <xdr:col>7</xdr:col>
      <xdr:colOff>225</xdr:colOff>
      <xdr:row>33</xdr:row>
      <xdr:rowOff>94680</xdr:rowOff>
    </xdr:to>
    <xdr:sp macro="" textlink="">
      <xdr:nvSpPr>
        <xdr:cNvPr id="28" name="四角形: 角を丸くする 5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90440" y="4800600"/>
          <a:ext cx="3918240" cy="1685520"/>
        </a:xfrm>
        <a:prstGeom prst="roundRect">
          <a:avLst>
            <a:gd name="adj" fmla="val 16667"/>
          </a:avLst>
        </a:prstGeom>
        <a:noFill/>
        <a:ln w="38100">
          <a:solidFill>
            <a:srgbClr val="0066FF"/>
          </a:solidFill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absolute">
    <xdr:from>
      <xdr:col>6</xdr:col>
      <xdr:colOff>655620</xdr:colOff>
      <xdr:row>23</xdr:row>
      <xdr:rowOff>96120</xdr:rowOff>
    </xdr:from>
    <xdr:to>
      <xdr:col>7</xdr:col>
      <xdr:colOff>618480</xdr:colOff>
      <xdr:row>25</xdr:row>
      <xdr:rowOff>37800</xdr:rowOff>
    </xdr:to>
    <xdr:sp macro="" textlink="">
      <xdr:nvSpPr>
        <xdr:cNvPr id="29" name="直線矢印コネクタ 6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 flipH="1">
          <a:off x="4087800" y="5287320"/>
          <a:ext cx="654480" cy="34164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50">
          <a:solidFill>
            <a:srgbClr val="0066FF"/>
          </a:solidFill>
          <a:round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absolute">
    <xdr:from>
      <xdr:col>7</xdr:col>
      <xdr:colOff>651600</xdr:colOff>
      <xdr:row>22</xdr:row>
      <xdr:rowOff>133560</xdr:rowOff>
    </xdr:from>
    <xdr:to>
      <xdr:col>8</xdr:col>
      <xdr:colOff>459000</xdr:colOff>
      <xdr:row>24</xdr:row>
      <xdr:rowOff>78840</xdr:rowOff>
    </xdr:to>
    <xdr:sp macro="" textlink="">
      <xdr:nvSpPr>
        <xdr:cNvPr id="30" name="テキスト ボックス 7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4775400" y="5124600"/>
          <a:ext cx="536760" cy="34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wrap="none" lIns="90000" tIns="45000" rIns="90000" bIns="45000" anchor="t">
          <a:spAutoFit/>
        </a:bodyPr>
        <a:lstStyle/>
        <a:p>
          <a:pPr>
            <a:lnSpc>
              <a:spcPct val="100000"/>
            </a:lnSpc>
          </a:pPr>
          <a:r>
            <a:rPr lang="ja-JP" sz="1400" b="1" strike="noStrike" spc="-1">
              <a:solidFill>
                <a:srgbClr val="0066FF"/>
              </a:solidFill>
              <a:latin typeface="Calibri"/>
            </a:rPr>
            <a:t>転記</a:t>
          </a:r>
          <a:endParaRPr lang="en-US" sz="1400" b="0" strike="noStrike" spc="-1">
            <a:latin typeface="Noto Serif CJK JP"/>
          </a:endParaRPr>
        </a:p>
      </xdr:txBody>
    </xdr:sp>
    <xdr:clientData/>
  </xdr:twoCellAnchor>
  <xdr:twoCellAnchor editAs="absolute">
    <xdr:from>
      <xdr:col>11</xdr:col>
      <xdr:colOff>227880</xdr:colOff>
      <xdr:row>20</xdr:row>
      <xdr:rowOff>66600</xdr:rowOff>
    </xdr:from>
    <xdr:to>
      <xdr:col>11</xdr:col>
      <xdr:colOff>764640</xdr:colOff>
      <xdr:row>21</xdr:row>
      <xdr:rowOff>78480</xdr:rowOff>
    </xdr:to>
    <xdr:sp macro="" textlink="">
      <xdr:nvSpPr>
        <xdr:cNvPr id="31" name="テキスト ボックス 8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7143120" y="4524480"/>
          <a:ext cx="536760" cy="34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wrap="none" lIns="90000" tIns="45000" rIns="90000" bIns="45000" anchor="t">
          <a:spAutoFit/>
        </a:bodyPr>
        <a:lstStyle/>
        <a:p>
          <a:pPr>
            <a:lnSpc>
              <a:spcPct val="100000"/>
            </a:lnSpc>
          </a:pPr>
          <a:r>
            <a:rPr lang="ja-JP" sz="1400" b="1" strike="noStrike" spc="-1">
              <a:solidFill>
                <a:srgbClr val="FF0000"/>
              </a:solidFill>
              <a:latin typeface="Calibri"/>
            </a:rPr>
            <a:t>集計</a:t>
          </a:r>
          <a:endParaRPr lang="en-US" sz="1400" b="0" strike="noStrike" spc="-1">
            <a:latin typeface="Noto Serif CJK JP"/>
          </a:endParaRPr>
        </a:p>
      </xdr:txBody>
    </xdr:sp>
    <xdr:clientData/>
  </xdr:twoCellAnchor>
  <xdr:twoCellAnchor>
    <xdr:from>
      <xdr:col>11</xdr:col>
      <xdr:colOff>419040</xdr:colOff>
      <xdr:row>16</xdr:row>
      <xdr:rowOff>18720</xdr:rowOff>
    </xdr:from>
    <xdr:to>
      <xdr:col>11</xdr:col>
      <xdr:colOff>437760</xdr:colOff>
      <xdr:row>20</xdr:row>
      <xdr:rowOff>46800</xdr:rowOff>
    </xdr:to>
    <xdr:sp macro="" textlink="">
      <xdr:nvSpPr>
        <xdr:cNvPr id="32" name="直線矢印コネクタ 9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 flipV="1">
          <a:off x="7334280" y="3599640"/>
          <a:ext cx="18720" cy="90468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50">
          <a:solidFill>
            <a:srgbClr val="FF0000"/>
          </a:solidFill>
          <a:round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11</xdr:col>
      <xdr:colOff>428760</xdr:colOff>
      <xdr:row>16</xdr:row>
      <xdr:rowOff>18720</xdr:rowOff>
    </xdr:from>
    <xdr:to>
      <xdr:col>15</xdr:col>
      <xdr:colOff>590400</xdr:colOff>
      <xdr:row>20</xdr:row>
      <xdr:rowOff>37440</xdr:rowOff>
    </xdr:to>
    <xdr:sp macro="" textlink="">
      <xdr:nvSpPr>
        <xdr:cNvPr id="33" name="直線矢印コネクタ 10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 flipV="1">
          <a:off x="7344000" y="3599640"/>
          <a:ext cx="1515240" cy="89532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50">
          <a:solidFill>
            <a:srgbClr val="FF0000"/>
          </a:solidFill>
          <a:round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9</xdr:col>
      <xdr:colOff>485640</xdr:colOff>
      <xdr:row>23</xdr:row>
      <xdr:rowOff>142920</xdr:rowOff>
    </xdr:from>
    <xdr:to>
      <xdr:col>9</xdr:col>
      <xdr:colOff>669960</xdr:colOff>
      <xdr:row>25</xdr:row>
      <xdr:rowOff>54000</xdr:rowOff>
    </xdr:to>
    <xdr:sp macro="" textlink="">
      <xdr:nvSpPr>
        <xdr:cNvPr id="34" name="テキスト ボックス 11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6195600" y="5334120"/>
          <a:ext cx="184320" cy="3110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3</xdr:col>
      <xdr:colOff>46080</xdr:colOff>
      <xdr:row>4</xdr:row>
      <xdr:rowOff>95040</xdr:rowOff>
    </xdr:from>
    <xdr:to>
      <xdr:col>5</xdr:col>
      <xdr:colOff>371160</xdr:colOff>
      <xdr:row>7</xdr:row>
      <xdr:rowOff>132840</xdr:rowOff>
    </xdr:to>
    <xdr:sp macro="" textlink="">
      <xdr:nvSpPr>
        <xdr:cNvPr id="35" name="四角形: 角を丸くする 13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1039680" y="1114200"/>
          <a:ext cx="1995840" cy="666360"/>
        </a:xfrm>
        <a:prstGeom prst="roundRect">
          <a:avLst>
            <a:gd name="adj" fmla="val 16667"/>
          </a:avLst>
        </a:prstGeom>
        <a:solidFill>
          <a:srgbClr val="FFFFFF"/>
        </a:solidFill>
        <a:ln>
          <a:solidFill>
            <a:srgbClr val="F79646"/>
          </a:solidFill>
          <a:round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400" b="1" strike="noStrike" spc="-1">
              <a:solidFill>
                <a:srgbClr val="FF0000"/>
              </a:solidFill>
              <a:latin typeface="Calibri"/>
            </a:rPr>
            <a:t>"</a:t>
          </a:r>
          <a:r>
            <a:rPr lang="ja-JP" sz="1400" b="1" strike="noStrike" spc="-1">
              <a:solidFill>
                <a:srgbClr val="FF0000"/>
              </a:solidFill>
              <a:latin typeface="Calibri"/>
            </a:rPr>
            <a:t>キーワード項目列</a:t>
          </a:r>
          <a:r>
            <a:rPr lang="en-US" sz="1400" b="1" strike="noStrike" spc="-1">
              <a:solidFill>
                <a:srgbClr val="FF0000"/>
              </a:solidFill>
              <a:latin typeface="Calibri"/>
            </a:rPr>
            <a:t>":</a:t>
          </a:r>
          <a:endParaRPr lang="en-US" sz="1400" b="0" strike="noStrike" spc="-1">
            <a:latin typeface="Noto Serif CJK JP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400" b="1" strike="noStrike" spc="-1">
              <a:solidFill>
                <a:srgbClr val="FF0000"/>
              </a:solidFill>
              <a:latin typeface="Calibri"/>
            </a:rPr>
            <a:t>["A", "B", "C"]</a:t>
          </a:r>
          <a:endParaRPr lang="en-US" sz="1400" b="0" strike="noStrike" spc="-1">
            <a:latin typeface="Noto Serif CJK JP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endParaRPr lang="en-US" sz="1100" b="0" strike="noStrike" spc="-1">
            <a:latin typeface="Noto Serif CJK JP"/>
          </a:endParaRPr>
        </a:p>
      </xdr:txBody>
    </xdr:sp>
    <xdr:clientData/>
  </xdr:twoCellAnchor>
  <xdr:twoCellAnchor editAs="absolute">
    <xdr:from>
      <xdr:col>1</xdr:col>
      <xdr:colOff>273960</xdr:colOff>
      <xdr:row>0</xdr:row>
      <xdr:rowOff>161640</xdr:rowOff>
    </xdr:from>
    <xdr:to>
      <xdr:col>3</xdr:col>
      <xdr:colOff>306720</xdr:colOff>
      <xdr:row>4</xdr:row>
      <xdr:rowOff>56520</xdr:rowOff>
    </xdr:to>
    <xdr:sp macro="" textlink="">
      <xdr:nvSpPr>
        <xdr:cNvPr id="36" name="直線矢印コネクタ 14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 flipH="1" flipV="1">
          <a:off x="495720" y="161280"/>
          <a:ext cx="804240" cy="91404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50">
          <a:solidFill>
            <a:srgbClr val="C00000"/>
          </a:solidFill>
          <a:round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absolute">
    <xdr:from>
      <xdr:col>0</xdr:col>
      <xdr:colOff>57240</xdr:colOff>
      <xdr:row>0</xdr:row>
      <xdr:rowOff>28440</xdr:rowOff>
    </xdr:from>
    <xdr:to>
      <xdr:col>2</xdr:col>
      <xdr:colOff>289800</xdr:colOff>
      <xdr:row>0</xdr:row>
      <xdr:rowOff>161280</xdr:rowOff>
    </xdr:to>
    <xdr:sp macro="" textlink="">
      <xdr:nvSpPr>
        <xdr:cNvPr id="37" name="右中かっこ 15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 rot="5400000">
          <a:off x="429480" y="-343800"/>
          <a:ext cx="132840" cy="877680"/>
        </a:xfrm>
        <a:prstGeom prst="rightBrace">
          <a:avLst>
            <a:gd name="adj1" fmla="val 8333"/>
            <a:gd name="adj2" fmla="val 50000"/>
          </a:avLst>
        </a:prstGeom>
        <a:noFill/>
        <a:ln w="25400">
          <a:solidFill>
            <a:srgbClr val="BE4B48"/>
          </a:solidFill>
          <a:round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FF"/>
    <pageSetUpPr fitToPage="1"/>
  </sheetPr>
  <dimension ref="A1:AMJ34"/>
  <sheetViews>
    <sheetView showGridLines="0" zoomScaleNormal="100" workbookViewId="0">
      <selection activeCell="S29" sqref="S29"/>
    </sheetView>
  </sheetViews>
  <sheetFormatPr defaultColWidth="9" defaultRowHeight="14.25" x14ac:dyDescent="0.15"/>
  <cols>
    <col min="1" max="1" width="2.625" style="2" customWidth="1"/>
    <col min="2" max="2" width="5" style="2" customWidth="1"/>
    <col min="3" max="3" width="4.125" style="2" customWidth="1"/>
    <col min="4" max="4" width="15.125" style="3" customWidth="1"/>
    <col min="5" max="5" width="4.625" style="3" customWidth="1"/>
    <col min="6" max="6" width="8.625" style="4" customWidth="1"/>
    <col min="7" max="7" width="8.625" style="3" customWidth="1"/>
    <col min="8" max="8" width="8.625" style="5" customWidth="1"/>
    <col min="9" max="9" width="10.125" style="3" customWidth="1"/>
    <col min="10" max="10" width="10.125" style="4" customWidth="1"/>
    <col min="11" max="11" width="4.125" style="4" customWidth="1"/>
    <col min="12" max="12" width="12.375" style="3" customWidth="1"/>
    <col min="13" max="13" width="0.625" style="3" customWidth="1"/>
    <col min="14" max="14" width="11.125" style="3" hidden="1" customWidth="1"/>
    <col min="15" max="15" width="3" style="3" customWidth="1"/>
    <col min="16" max="16" width="14.125" style="3" customWidth="1"/>
    <col min="17" max="1024" width="9" style="3"/>
  </cols>
  <sheetData>
    <row r="1" spans="1:17" ht="20.25" customHeight="1" x14ac:dyDescent="0.2">
      <c r="D1" s="6" t="s">
        <v>0</v>
      </c>
      <c r="E1" s="6"/>
      <c r="F1" s="7"/>
      <c r="J1" s="8" t="s">
        <v>1</v>
      </c>
      <c r="K1" s="148">
        <v>45992</v>
      </c>
      <c r="L1" s="148"/>
      <c r="M1" s="9"/>
      <c r="N1" s="10" t="s">
        <v>2</v>
      </c>
      <c r="O1" s="11"/>
      <c r="P1" s="12"/>
    </row>
    <row r="2" spans="1:17" s="13" customFormat="1" ht="19.5" customHeight="1" x14ac:dyDescent="0.15">
      <c r="B2" s="14" t="s">
        <v>3</v>
      </c>
      <c r="C2" s="15"/>
      <c r="D2" s="15"/>
      <c r="E2" s="14"/>
      <c r="F2" s="16" t="s">
        <v>4</v>
      </c>
      <c r="G2" s="17"/>
      <c r="H2" s="18" t="s">
        <v>5</v>
      </c>
      <c r="J2" s="19"/>
      <c r="K2" s="20"/>
      <c r="L2" s="14" t="s">
        <v>5</v>
      </c>
      <c r="M2" s="21"/>
      <c r="N2" s="21" t="s">
        <v>6</v>
      </c>
      <c r="O2" s="22"/>
      <c r="P2" s="14" t="s">
        <v>4</v>
      </c>
      <c r="Q2" s="23" t="s">
        <v>7</v>
      </c>
    </row>
    <row r="3" spans="1:17" s="34" customFormat="1" ht="24" customHeight="1" x14ac:dyDescent="0.15">
      <c r="A3" s="24"/>
      <c r="B3" s="25" t="s">
        <v>8</v>
      </c>
      <c r="C3" s="26" t="s">
        <v>9</v>
      </c>
      <c r="D3" s="27"/>
      <c r="E3" s="28"/>
      <c r="F3" s="28" t="s">
        <v>7</v>
      </c>
      <c r="G3" s="28"/>
      <c r="H3" s="28" t="s">
        <v>7</v>
      </c>
      <c r="I3" s="28"/>
      <c r="J3" s="28"/>
      <c r="K3" s="28"/>
      <c r="L3" s="29" t="s">
        <v>10</v>
      </c>
      <c r="M3" s="30"/>
      <c r="N3" s="31" t="s">
        <v>11</v>
      </c>
      <c r="O3" s="32"/>
      <c r="P3" s="33" t="s">
        <v>10</v>
      </c>
      <c r="Q3" s="34">
        <v>1</v>
      </c>
    </row>
    <row r="4" spans="1:17" s="48" customFormat="1" ht="16.5" customHeight="1" x14ac:dyDescent="0.15">
      <c r="A4" s="35"/>
      <c r="B4" s="36"/>
      <c r="C4" s="37">
        <v>4</v>
      </c>
      <c r="D4" s="38"/>
      <c r="E4" s="39"/>
      <c r="F4" s="40">
        <v>1</v>
      </c>
      <c r="G4" s="38"/>
      <c r="H4" s="40"/>
      <c r="I4" s="41">
        <v>70</v>
      </c>
      <c r="J4" s="40">
        <v>200</v>
      </c>
      <c r="K4" s="41"/>
      <c r="L4" s="42">
        <f t="shared" ref="L4:L9" si="0">SUM(F4:F4)+SUM(H4:H4)+SUM(I4:I4)+SUM(J4:J4)+SUM(K4:K4)</f>
        <v>271</v>
      </c>
      <c r="M4" s="43"/>
      <c r="N4" s="44"/>
      <c r="O4" s="45"/>
      <c r="P4" s="46">
        <v>200</v>
      </c>
      <c r="Q4" s="47">
        <v>3</v>
      </c>
    </row>
    <row r="5" spans="1:17" s="48" customFormat="1" ht="16.5" customHeight="1" x14ac:dyDescent="0.15">
      <c r="A5" s="35"/>
      <c r="B5" s="49"/>
      <c r="C5" s="50">
        <v>5</v>
      </c>
      <c r="D5" s="51"/>
      <c r="E5" s="52"/>
      <c r="F5" s="53">
        <v>3</v>
      </c>
      <c r="G5" s="51"/>
      <c r="H5" s="53"/>
      <c r="I5" s="54">
        <v>750</v>
      </c>
      <c r="J5" s="53">
        <v>200</v>
      </c>
      <c r="K5" s="54"/>
      <c r="L5" s="55">
        <f t="shared" si="0"/>
        <v>953</v>
      </c>
      <c r="M5" s="43"/>
      <c r="N5" s="56"/>
      <c r="O5" s="45"/>
      <c r="P5" s="57">
        <v>200</v>
      </c>
      <c r="Q5" s="47">
        <v>5</v>
      </c>
    </row>
    <row r="6" spans="1:17" s="48" customFormat="1" ht="16.5" customHeight="1" x14ac:dyDescent="0.15">
      <c r="A6" s="35"/>
      <c r="B6" s="49"/>
      <c r="C6" s="50">
        <v>6</v>
      </c>
      <c r="D6" s="51"/>
      <c r="E6" s="52"/>
      <c r="F6" s="53">
        <v>6</v>
      </c>
      <c r="G6" s="51"/>
      <c r="H6" s="53">
        <v>400</v>
      </c>
      <c r="I6" s="54">
        <v>70</v>
      </c>
      <c r="J6" s="53">
        <v>200</v>
      </c>
      <c r="K6" s="54"/>
      <c r="L6" s="55">
        <f t="shared" si="0"/>
        <v>676</v>
      </c>
      <c r="M6" s="43"/>
      <c r="N6" s="44"/>
      <c r="O6" s="45"/>
      <c r="P6" s="57">
        <v>200</v>
      </c>
      <c r="Q6" s="47">
        <v>8</v>
      </c>
    </row>
    <row r="7" spans="1:17" s="48" customFormat="1" ht="16.5" customHeight="1" x14ac:dyDescent="0.15">
      <c r="A7" s="35"/>
      <c r="B7" s="49"/>
      <c r="C7" s="50">
        <v>7</v>
      </c>
      <c r="D7" s="51"/>
      <c r="E7" s="52"/>
      <c r="F7" s="53">
        <v>8</v>
      </c>
      <c r="G7" s="51"/>
      <c r="H7" s="53">
        <v>1100</v>
      </c>
      <c r="I7" s="54">
        <v>70</v>
      </c>
      <c r="J7" s="53">
        <v>200</v>
      </c>
      <c r="K7" s="54"/>
      <c r="L7" s="55">
        <f t="shared" si="0"/>
        <v>1378</v>
      </c>
      <c r="M7" s="43"/>
      <c r="N7" s="44"/>
      <c r="O7" s="45"/>
      <c r="P7" s="57">
        <v>200</v>
      </c>
      <c r="Q7" s="47">
        <v>10</v>
      </c>
    </row>
    <row r="8" spans="1:17" s="48" customFormat="1" ht="16.5" customHeight="1" x14ac:dyDescent="0.15">
      <c r="A8" s="35"/>
      <c r="B8" s="49"/>
      <c r="C8" s="50">
        <v>8</v>
      </c>
      <c r="D8" s="51"/>
      <c r="E8" s="52"/>
      <c r="F8" s="53">
        <v>10</v>
      </c>
      <c r="G8" s="51"/>
      <c r="H8" s="53"/>
      <c r="I8" s="54">
        <v>70</v>
      </c>
      <c r="J8" s="53">
        <v>200</v>
      </c>
      <c r="K8" s="54"/>
      <c r="L8" s="55">
        <f t="shared" si="0"/>
        <v>280</v>
      </c>
      <c r="M8" s="43"/>
      <c r="N8" s="58"/>
      <c r="O8" s="45"/>
      <c r="P8" s="57">
        <v>200</v>
      </c>
      <c r="Q8" s="47">
        <v>12</v>
      </c>
    </row>
    <row r="9" spans="1:17" s="48" customFormat="1" ht="16.5" customHeight="1" x14ac:dyDescent="0.15">
      <c r="A9" s="35"/>
      <c r="B9" s="59"/>
      <c r="C9" s="60">
        <v>9</v>
      </c>
      <c r="D9" s="61"/>
      <c r="E9" s="62"/>
      <c r="F9" s="63">
        <v>12</v>
      </c>
      <c r="G9" s="61"/>
      <c r="H9" s="63">
        <v>300</v>
      </c>
      <c r="I9" s="64">
        <v>70</v>
      </c>
      <c r="J9" s="63">
        <v>200</v>
      </c>
      <c r="K9" s="64"/>
      <c r="L9" s="65">
        <f t="shared" si="0"/>
        <v>582</v>
      </c>
      <c r="M9" s="43"/>
      <c r="N9" s="44"/>
      <c r="O9" s="45"/>
      <c r="P9" s="66">
        <v>200</v>
      </c>
      <c r="Q9" s="47">
        <v>14</v>
      </c>
    </row>
    <row r="10" spans="1:17" s="48" customFormat="1" ht="20.25" customHeight="1" x14ac:dyDescent="0.15">
      <c r="A10" s="35"/>
      <c r="B10" s="67"/>
      <c r="C10" s="68" t="s">
        <v>12</v>
      </c>
      <c r="D10" s="69"/>
      <c r="E10" s="69"/>
      <c r="F10" s="70">
        <f>SUM(F4:F9)</f>
        <v>40</v>
      </c>
      <c r="G10" s="71"/>
      <c r="H10" s="70">
        <f>SUM(H4:H9)</f>
        <v>1800</v>
      </c>
      <c r="I10" s="70">
        <f>SUM(I4:I9)</f>
        <v>1100</v>
      </c>
      <c r="J10" s="70">
        <f>SUM(J4:J9)</f>
        <v>1200</v>
      </c>
      <c r="K10" s="70">
        <f>SUM(K4:K9)</f>
        <v>0</v>
      </c>
      <c r="L10" s="72">
        <f>SUM(L4,L5,L6,L7,L8,L9)</f>
        <v>4140</v>
      </c>
      <c r="M10" s="73"/>
      <c r="N10" s="73">
        <f>SUM(N4:N9)</f>
        <v>0</v>
      </c>
      <c r="O10" s="45"/>
      <c r="P10" s="74">
        <f>SUM(P4,P5,P6,P7,P8,P9)</f>
        <v>1200</v>
      </c>
      <c r="Q10" s="47">
        <v>16</v>
      </c>
    </row>
    <row r="11" spans="1:17" s="48" customFormat="1" ht="16.5" customHeight="1" x14ac:dyDescent="0.15">
      <c r="A11" s="35"/>
      <c r="B11" s="75"/>
      <c r="C11" s="37">
        <v>10</v>
      </c>
      <c r="D11" s="38"/>
      <c r="E11" s="39"/>
      <c r="F11" s="40"/>
      <c r="G11" s="38"/>
      <c r="H11" s="40"/>
      <c r="I11" s="41">
        <v>70</v>
      </c>
      <c r="J11" s="40">
        <v>200</v>
      </c>
      <c r="K11" s="41"/>
      <c r="L11" s="42">
        <f t="shared" ref="L11:L16" si="1">SUM(F11:F11)+SUM(H11:H11)+SUM(I11:I11)+SUM(J11:J11)+SUM(K11:K11)</f>
        <v>270</v>
      </c>
      <c r="M11" s="43"/>
      <c r="N11" s="44">
        <v>0</v>
      </c>
      <c r="O11" s="45"/>
      <c r="P11" s="46">
        <v>200</v>
      </c>
      <c r="Q11" s="47">
        <v>18</v>
      </c>
    </row>
    <row r="12" spans="1:17" s="48" customFormat="1" ht="16.5" customHeight="1" x14ac:dyDescent="0.15">
      <c r="A12" s="35"/>
      <c r="B12" s="49"/>
      <c r="C12" s="50">
        <v>11</v>
      </c>
      <c r="D12" s="51"/>
      <c r="E12" s="52"/>
      <c r="F12" s="53"/>
      <c r="G12" s="51"/>
      <c r="H12" s="53"/>
      <c r="I12" s="54">
        <v>70</v>
      </c>
      <c r="J12" s="53">
        <v>200</v>
      </c>
      <c r="K12" s="54"/>
      <c r="L12" s="55">
        <f t="shared" si="1"/>
        <v>270</v>
      </c>
      <c r="M12" s="43"/>
      <c r="N12" s="44">
        <v>0</v>
      </c>
      <c r="O12" s="45"/>
      <c r="P12" s="57">
        <v>200</v>
      </c>
      <c r="Q12" s="47">
        <v>20</v>
      </c>
    </row>
    <row r="13" spans="1:17" s="48" customFormat="1" ht="16.5" customHeight="1" x14ac:dyDescent="0.15">
      <c r="A13" s="35"/>
      <c r="B13" s="49"/>
      <c r="C13" s="50">
        <v>12</v>
      </c>
      <c r="D13" s="51"/>
      <c r="E13" s="52"/>
      <c r="F13" s="53"/>
      <c r="G13" s="51"/>
      <c r="H13" s="53"/>
      <c r="I13" s="54">
        <v>70</v>
      </c>
      <c r="J13" s="53">
        <v>200</v>
      </c>
      <c r="K13" s="54"/>
      <c r="L13" s="55">
        <f t="shared" si="1"/>
        <v>270</v>
      </c>
      <c r="M13" s="43"/>
      <c r="N13" s="44">
        <v>0</v>
      </c>
      <c r="O13" s="45"/>
      <c r="P13" s="57">
        <v>200</v>
      </c>
      <c r="Q13" s="47">
        <v>22</v>
      </c>
    </row>
    <row r="14" spans="1:17" s="48" customFormat="1" ht="16.5" customHeight="1" x14ac:dyDescent="0.15">
      <c r="A14" s="35"/>
      <c r="B14" s="49"/>
      <c r="C14" s="50">
        <v>1</v>
      </c>
      <c r="D14" s="51"/>
      <c r="E14" s="52"/>
      <c r="F14" s="53"/>
      <c r="G14" s="51"/>
      <c r="H14" s="53"/>
      <c r="I14" s="54">
        <v>70</v>
      </c>
      <c r="J14" s="53">
        <v>200</v>
      </c>
      <c r="K14" s="54"/>
      <c r="L14" s="55">
        <f t="shared" si="1"/>
        <v>270</v>
      </c>
      <c r="M14" s="43"/>
      <c r="N14" s="44">
        <v>0</v>
      </c>
      <c r="O14" s="45"/>
      <c r="P14" s="57">
        <v>200</v>
      </c>
      <c r="Q14" s="47">
        <v>24</v>
      </c>
    </row>
    <row r="15" spans="1:17" s="48" customFormat="1" ht="16.5" customHeight="1" x14ac:dyDescent="0.15">
      <c r="A15" s="35"/>
      <c r="B15" s="49"/>
      <c r="C15" s="50">
        <v>2</v>
      </c>
      <c r="D15" s="51"/>
      <c r="E15" s="52"/>
      <c r="F15" s="53"/>
      <c r="G15" s="51"/>
      <c r="H15" s="53"/>
      <c r="I15" s="54">
        <v>70</v>
      </c>
      <c r="J15" s="53">
        <v>200</v>
      </c>
      <c r="K15" s="54"/>
      <c r="L15" s="55">
        <f t="shared" si="1"/>
        <v>270</v>
      </c>
      <c r="M15" s="43"/>
      <c r="N15" s="44">
        <v>0</v>
      </c>
      <c r="O15" s="45"/>
      <c r="P15" s="57">
        <v>200</v>
      </c>
      <c r="Q15" s="47">
        <v>26</v>
      </c>
    </row>
    <row r="16" spans="1:17" s="48" customFormat="1" ht="16.5" customHeight="1" x14ac:dyDescent="0.15">
      <c r="A16" s="35"/>
      <c r="B16" s="49"/>
      <c r="C16" s="50">
        <v>3</v>
      </c>
      <c r="D16" s="51"/>
      <c r="E16" s="52"/>
      <c r="F16" s="53">
        <v>3000</v>
      </c>
      <c r="G16" s="51"/>
      <c r="H16" s="53">
        <v>3000</v>
      </c>
      <c r="I16" s="54">
        <v>70</v>
      </c>
      <c r="J16" s="53">
        <v>200</v>
      </c>
      <c r="K16" s="54"/>
      <c r="L16" s="55">
        <f t="shared" si="1"/>
        <v>6270</v>
      </c>
      <c r="M16" s="43"/>
      <c r="N16" s="44">
        <v>0</v>
      </c>
      <c r="O16" s="45"/>
      <c r="P16" s="57">
        <v>200</v>
      </c>
      <c r="Q16" s="47">
        <v>28</v>
      </c>
    </row>
    <row r="17" spans="1:17" s="48" customFormat="1" ht="21" customHeight="1" x14ac:dyDescent="0.15">
      <c r="A17" s="35"/>
      <c r="B17" s="76"/>
      <c r="C17" s="60" t="s">
        <v>13</v>
      </c>
      <c r="D17" s="77"/>
      <c r="E17" s="77"/>
      <c r="F17" s="64">
        <f>SUM(F11:F16)</f>
        <v>3000</v>
      </c>
      <c r="G17" s="78"/>
      <c r="H17" s="64">
        <f>SUM(H11:H16)</f>
        <v>3000</v>
      </c>
      <c r="I17" s="64">
        <f>SUM(I11:I16)</f>
        <v>420</v>
      </c>
      <c r="J17" s="64">
        <f>SUM(J11:J16)</f>
        <v>1200</v>
      </c>
      <c r="K17" s="64">
        <f>SUM(K11:K16)</f>
        <v>0</v>
      </c>
      <c r="L17" s="79">
        <f>SUM(L11,L12,L13,L14,L15,L16)</f>
        <v>7620</v>
      </c>
      <c r="M17" s="73"/>
      <c r="N17" s="73">
        <f>SUM(N11:N16)</f>
        <v>0</v>
      </c>
      <c r="O17" s="45"/>
      <c r="P17" s="80">
        <f>SUM(P11,P12,P13,P14,P15,P16)</f>
        <v>1200</v>
      </c>
      <c r="Q17" s="47">
        <v>30</v>
      </c>
    </row>
    <row r="18" spans="1:17" s="81" customFormat="1" ht="18" customHeight="1" x14ac:dyDescent="0.15">
      <c r="B18" s="82" t="s">
        <v>14</v>
      </c>
      <c r="C18" s="83"/>
      <c r="D18" s="84"/>
      <c r="E18" s="84"/>
      <c r="F18" s="85">
        <f>F10+F17</f>
        <v>3040</v>
      </c>
      <c r="G18" s="86"/>
      <c r="H18" s="85">
        <f>H10+H17</f>
        <v>4800</v>
      </c>
      <c r="I18" s="87">
        <f>I10+I17</f>
        <v>1520</v>
      </c>
      <c r="J18" s="87">
        <f>J10+J17</f>
        <v>2400</v>
      </c>
      <c r="K18" s="87">
        <f>K10+K17</f>
        <v>0</v>
      </c>
      <c r="L18" s="88">
        <f>L10+L17</f>
        <v>11760</v>
      </c>
      <c r="M18" s="89"/>
      <c r="N18" s="89">
        <f>N10+N17</f>
        <v>0</v>
      </c>
      <c r="O18" s="90"/>
      <c r="P18" s="91">
        <f>SUM(P10,P17)</f>
        <v>2400</v>
      </c>
      <c r="Q18" s="92">
        <v>32</v>
      </c>
    </row>
    <row r="19" spans="1:17" s="104" customFormat="1" x14ac:dyDescent="0.15">
      <c r="A19" s="93"/>
      <c r="B19" s="94"/>
      <c r="C19" s="95"/>
      <c r="D19" s="96"/>
      <c r="E19" s="96"/>
      <c r="F19" s="97"/>
      <c r="G19" s="98"/>
      <c r="H19" s="97"/>
      <c r="I19" s="99"/>
      <c r="J19" s="97"/>
      <c r="K19" s="97"/>
      <c r="L19" s="100"/>
      <c r="M19" s="97"/>
      <c r="N19" s="101" t="s">
        <v>15</v>
      </c>
      <c r="O19" s="102"/>
      <c r="P19" s="103"/>
    </row>
    <row r="20" spans="1:17" s="105" customFormat="1" ht="15" customHeight="1" x14ac:dyDescent="0.15">
      <c r="B20" s="106" t="s">
        <v>16</v>
      </c>
      <c r="C20" s="107"/>
      <c r="D20" s="107"/>
      <c r="E20" s="108"/>
      <c r="F20" s="109"/>
      <c r="G20" s="108"/>
      <c r="H20" s="110"/>
      <c r="J20" s="111"/>
      <c r="K20" s="112"/>
      <c r="L20" s="112"/>
      <c r="M20" s="113"/>
      <c r="N20" s="113"/>
      <c r="O20" s="112"/>
      <c r="P20" s="114"/>
    </row>
    <row r="21" spans="1:17" s="121" customFormat="1" ht="26.25" customHeight="1" x14ac:dyDescent="0.15">
      <c r="A21" s="115"/>
      <c r="B21" s="116" t="s">
        <v>8</v>
      </c>
      <c r="C21" s="117" t="s">
        <v>9</v>
      </c>
      <c r="D21" s="1" t="s">
        <v>17</v>
      </c>
      <c r="E21" s="149" t="s">
        <v>18</v>
      </c>
      <c r="F21" s="149"/>
      <c r="G21" s="118" t="s">
        <v>19</v>
      </c>
      <c r="H21" s="119"/>
      <c r="I21" s="120"/>
      <c r="K21" s="122"/>
      <c r="L21" s="123"/>
      <c r="M21" s="123"/>
      <c r="N21" s="123" t="s">
        <v>20</v>
      </c>
      <c r="O21" s="124"/>
    </row>
    <row r="22" spans="1:17" ht="15.75" customHeight="1" x14ac:dyDescent="0.15">
      <c r="A22" s="125"/>
      <c r="B22" s="126">
        <v>2025</v>
      </c>
      <c r="C22" s="127">
        <v>4</v>
      </c>
      <c r="D22" s="128" t="s">
        <v>21</v>
      </c>
      <c r="E22" s="146" t="s">
        <v>22</v>
      </c>
      <c r="F22" s="146"/>
      <c r="G22" s="129">
        <v>500</v>
      </c>
      <c r="H22" s="101"/>
      <c r="I22" s="130"/>
      <c r="J22" s="131"/>
      <c r="K22" s="101"/>
      <c r="L22" s="132"/>
      <c r="M22" s="132"/>
      <c r="N22" s="132"/>
      <c r="O22" s="124"/>
    </row>
    <row r="23" spans="1:17" ht="15.75" customHeight="1" x14ac:dyDescent="0.15">
      <c r="A23" s="125"/>
      <c r="B23" s="126">
        <v>2025</v>
      </c>
      <c r="C23" s="127">
        <v>5</v>
      </c>
      <c r="D23" s="128" t="s">
        <v>23</v>
      </c>
      <c r="E23" s="146" t="s">
        <v>22</v>
      </c>
      <c r="F23" s="146"/>
      <c r="G23" s="129">
        <v>400</v>
      </c>
      <c r="H23" s="101"/>
      <c r="I23" s="130"/>
      <c r="J23" s="131"/>
      <c r="K23" s="101"/>
      <c r="L23" s="132"/>
      <c r="M23" s="132"/>
      <c r="N23" s="132"/>
      <c r="O23" s="124"/>
    </row>
    <row r="24" spans="1:17" ht="15.75" customHeight="1" x14ac:dyDescent="0.15">
      <c r="A24" s="125"/>
      <c r="B24" s="126">
        <v>2025</v>
      </c>
      <c r="C24" s="127">
        <v>6</v>
      </c>
      <c r="D24" s="128" t="s">
        <v>24</v>
      </c>
      <c r="E24" s="146" t="s">
        <v>22</v>
      </c>
      <c r="F24" s="146"/>
      <c r="G24" s="129">
        <v>600</v>
      </c>
      <c r="H24" s="101"/>
      <c r="I24" s="130"/>
      <c r="J24" s="131"/>
      <c r="K24" s="101"/>
      <c r="L24" s="132"/>
      <c r="M24" s="132"/>
      <c r="N24" s="132"/>
      <c r="O24" s="124"/>
    </row>
    <row r="25" spans="1:17" ht="15.75" customHeight="1" x14ac:dyDescent="0.15">
      <c r="A25" s="125"/>
      <c r="B25" s="126">
        <v>2025</v>
      </c>
      <c r="C25" s="127">
        <v>7</v>
      </c>
      <c r="D25" s="128" t="s">
        <v>25</v>
      </c>
      <c r="E25" s="146" t="s">
        <v>22</v>
      </c>
      <c r="F25" s="146"/>
      <c r="G25" s="129">
        <v>700</v>
      </c>
      <c r="H25" s="101"/>
      <c r="I25" s="130"/>
      <c r="J25" s="131"/>
      <c r="K25" s="101"/>
      <c r="L25" s="132"/>
      <c r="M25" s="132"/>
      <c r="N25" s="132"/>
      <c r="O25" s="124"/>
    </row>
    <row r="26" spans="1:17" ht="15.75" customHeight="1" x14ac:dyDescent="0.15">
      <c r="A26" s="125"/>
      <c r="B26" s="126">
        <v>2025</v>
      </c>
      <c r="C26" s="127">
        <v>8</v>
      </c>
      <c r="D26" s="128" t="s">
        <v>26</v>
      </c>
      <c r="E26" s="146" t="s">
        <v>22</v>
      </c>
      <c r="F26" s="146"/>
      <c r="G26" s="129">
        <v>3000</v>
      </c>
      <c r="H26" s="101"/>
      <c r="I26" s="130"/>
      <c r="J26" s="101"/>
      <c r="K26" s="101"/>
      <c r="L26" s="132"/>
      <c r="M26" s="132"/>
      <c r="N26" s="132"/>
      <c r="O26" s="124"/>
    </row>
    <row r="27" spans="1:17" ht="15.75" customHeight="1" x14ac:dyDescent="0.15">
      <c r="A27" s="125"/>
      <c r="B27" s="126">
        <v>2026</v>
      </c>
      <c r="C27" s="127">
        <v>1</v>
      </c>
      <c r="D27" s="128" t="s">
        <v>27</v>
      </c>
      <c r="E27" s="146" t="s">
        <v>22</v>
      </c>
      <c r="F27" s="146"/>
      <c r="G27" s="129">
        <v>200</v>
      </c>
      <c r="H27" s="101"/>
      <c r="I27" s="130"/>
      <c r="J27" s="101"/>
      <c r="K27" s="101"/>
      <c r="L27" s="132"/>
      <c r="M27" s="132"/>
      <c r="N27" s="132"/>
      <c r="O27" s="124"/>
    </row>
    <row r="28" spans="1:17" ht="15.75" customHeight="1" x14ac:dyDescent="0.15">
      <c r="A28" s="125"/>
      <c r="B28" s="126">
        <v>2026</v>
      </c>
      <c r="C28" s="127">
        <v>2</v>
      </c>
      <c r="D28" s="128" t="s">
        <v>28</v>
      </c>
      <c r="E28" s="146" t="s">
        <v>29</v>
      </c>
      <c r="F28" s="146"/>
      <c r="G28" s="129"/>
      <c r="H28" s="101"/>
      <c r="I28" s="130"/>
      <c r="J28" s="101"/>
      <c r="K28" s="101"/>
      <c r="L28" s="132"/>
      <c r="M28" s="132"/>
      <c r="N28" s="132"/>
      <c r="O28" s="124"/>
    </row>
    <row r="29" spans="1:17" ht="15.75" customHeight="1" x14ac:dyDescent="0.15">
      <c r="A29" s="125"/>
      <c r="B29" s="126">
        <v>2026</v>
      </c>
      <c r="C29" s="127">
        <v>3</v>
      </c>
      <c r="D29" s="128" t="s">
        <v>30</v>
      </c>
      <c r="E29" s="146" t="s">
        <v>29</v>
      </c>
      <c r="F29" s="146"/>
      <c r="G29" s="133"/>
      <c r="H29" s="101"/>
      <c r="I29" s="130"/>
      <c r="J29" s="101"/>
      <c r="K29" s="101"/>
      <c r="L29" s="132"/>
      <c r="M29" s="132"/>
      <c r="N29" s="132"/>
      <c r="O29" s="124"/>
    </row>
    <row r="30" spans="1:17" ht="15.75" hidden="1" customHeight="1" x14ac:dyDescent="0.15">
      <c r="A30" s="125"/>
      <c r="B30" s="134"/>
      <c r="C30" s="127"/>
      <c r="D30" s="135" t="s">
        <v>31</v>
      </c>
      <c r="E30" s="146"/>
      <c r="F30" s="146"/>
      <c r="G30" s="133"/>
      <c r="H30" s="101"/>
      <c r="I30" s="130"/>
      <c r="J30" s="101"/>
      <c r="K30" s="101"/>
      <c r="L30" s="132"/>
      <c r="M30" s="136"/>
      <c r="N30" s="136"/>
      <c r="O30" s="124"/>
    </row>
    <row r="31" spans="1:17" ht="15.75" hidden="1" customHeight="1" x14ac:dyDescent="0.15">
      <c r="A31" s="125"/>
      <c r="B31" s="134"/>
      <c r="C31" s="127"/>
      <c r="D31" s="135" t="s">
        <v>32</v>
      </c>
      <c r="E31" s="146"/>
      <c r="F31" s="146"/>
      <c r="G31" s="133"/>
      <c r="H31" s="101"/>
      <c r="I31" s="130"/>
      <c r="J31" s="101"/>
      <c r="K31" s="101"/>
      <c r="L31" s="132"/>
      <c r="O31" s="124"/>
    </row>
    <row r="32" spans="1:17" ht="15.75" hidden="1" customHeight="1" x14ac:dyDescent="0.15">
      <c r="A32" s="125"/>
      <c r="B32" s="134"/>
      <c r="C32" s="127"/>
      <c r="D32" s="135" t="s">
        <v>33</v>
      </c>
      <c r="E32" s="146"/>
      <c r="F32" s="146"/>
      <c r="G32" s="133"/>
      <c r="H32" s="101"/>
      <c r="I32" s="130"/>
      <c r="J32" s="101"/>
      <c r="K32" s="101"/>
      <c r="L32" s="132"/>
      <c r="M32" s="137"/>
      <c r="N32" s="137"/>
      <c r="O32" s="124"/>
    </row>
    <row r="33" spans="1:15" ht="15.75" hidden="1" customHeight="1" x14ac:dyDescent="0.15">
      <c r="A33" s="125"/>
      <c r="B33" s="134"/>
      <c r="C33" s="127"/>
      <c r="D33" s="135" t="s">
        <v>34</v>
      </c>
      <c r="E33" s="146"/>
      <c r="F33" s="146"/>
      <c r="G33" s="133"/>
      <c r="H33" s="101"/>
      <c r="I33" s="130"/>
      <c r="J33" s="101"/>
      <c r="K33" s="101"/>
      <c r="L33" s="132"/>
      <c r="M33" s="138"/>
      <c r="N33" s="138"/>
      <c r="O33" s="124"/>
    </row>
    <row r="34" spans="1:15" ht="15.75" customHeight="1" x14ac:dyDescent="0.15">
      <c r="A34" s="125"/>
      <c r="B34" s="139"/>
      <c r="C34" s="140"/>
      <c r="D34" s="141"/>
      <c r="E34" s="147"/>
      <c r="F34" s="147"/>
      <c r="G34" s="142"/>
      <c r="H34" s="101"/>
      <c r="I34" s="130"/>
      <c r="J34" s="101"/>
      <c r="K34" s="101"/>
      <c r="L34" s="132"/>
      <c r="M34" s="138"/>
      <c r="N34" s="138"/>
      <c r="O34" s="124"/>
    </row>
  </sheetData>
  <mergeCells count="15">
    <mergeCell ref="K1:L1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</mergeCells>
  <phoneticPr fontId="36"/>
  <dataValidations count="3">
    <dataValidation type="list" showInputMessage="1" showErrorMessage="1" sqref="E4:E9 E11:E16 M30:N30" xr:uid="{00000000-0002-0000-0000-000000000000}">
      <formula1>#REF!</formula1>
      <formula2>0</formula2>
    </dataValidation>
    <dataValidation type="list" allowBlank="1" showInputMessage="1" showErrorMessage="1" sqref="E22:F34" xr:uid="{00000000-0002-0000-0000-000001000000}">
      <formula1>"取得,除却,　　"</formula1>
      <formula2>0</formula2>
    </dataValidation>
    <dataValidation type="list" showInputMessage="1" showErrorMessage="1" sqref="L22:N29 L30:L34" xr:uid="{00000000-0002-0000-0000-000002000000}">
      <formula1>"期中取得,起業,　　"</formula1>
      <formula2>0</formula2>
    </dataValidation>
  </dataValidations>
  <pageMargins left="0.118055555555556" right="0" top="0.39374999999999999" bottom="0" header="0.511811023622047" footer="0.511811023622047"/>
  <pageSetup paperSize="9" orientation="portrait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FF"/>
    <pageSetUpPr fitToPage="1"/>
  </sheetPr>
  <dimension ref="A1:AMJ34"/>
  <sheetViews>
    <sheetView showGridLines="0" zoomScaleNormal="100" workbookViewId="0">
      <selection activeCell="S26" sqref="S26"/>
    </sheetView>
  </sheetViews>
  <sheetFormatPr defaultColWidth="9" defaultRowHeight="14.25" x14ac:dyDescent="0.15"/>
  <cols>
    <col min="1" max="1" width="2.625" style="2" customWidth="1"/>
    <col min="2" max="2" width="5" style="2" customWidth="1"/>
    <col min="3" max="3" width="4.125" style="2" customWidth="1"/>
    <col min="4" max="4" width="15.125" style="3" customWidth="1"/>
    <col min="5" max="5" width="4.625" style="3" customWidth="1"/>
    <col min="6" max="6" width="8.625" style="4" customWidth="1"/>
    <col min="7" max="7" width="8.625" style="3" customWidth="1"/>
    <col min="8" max="8" width="8.625" style="5" customWidth="1"/>
    <col min="9" max="9" width="10.125" style="3" customWidth="1"/>
    <col min="10" max="10" width="10.125" style="4" customWidth="1"/>
    <col min="11" max="11" width="4.125" style="4" customWidth="1"/>
    <col min="12" max="12" width="12.375" style="3" customWidth="1"/>
    <col min="13" max="13" width="0.625" style="3" customWidth="1"/>
    <col min="14" max="14" width="11.125" style="3" hidden="1" customWidth="1"/>
    <col min="15" max="15" width="3" style="3" customWidth="1"/>
    <col min="16" max="16" width="14.125" style="3" customWidth="1"/>
    <col min="17" max="1024" width="9" style="3"/>
  </cols>
  <sheetData>
    <row r="1" spans="1:17" ht="20.25" customHeight="1" x14ac:dyDescent="0.2">
      <c r="D1" s="6" t="s">
        <v>0</v>
      </c>
      <c r="E1" s="6"/>
      <c r="F1" s="7"/>
      <c r="J1" s="8" t="s">
        <v>1</v>
      </c>
      <c r="K1" s="148">
        <v>45992</v>
      </c>
      <c r="L1" s="148"/>
      <c r="M1" s="9"/>
      <c r="N1" s="10" t="s">
        <v>2</v>
      </c>
      <c r="O1" s="11"/>
      <c r="P1" s="12"/>
    </row>
    <row r="2" spans="1:17" s="13" customFormat="1" ht="19.5" customHeight="1" x14ac:dyDescent="0.15">
      <c r="B2" s="14" t="s">
        <v>3</v>
      </c>
      <c r="C2" s="15"/>
      <c r="D2" s="15"/>
      <c r="E2" s="14"/>
      <c r="F2" s="16" t="s">
        <v>4</v>
      </c>
      <c r="G2" s="17"/>
      <c r="H2" s="18" t="s">
        <v>5</v>
      </c>
      <c r="J2" s="19"/>
      <c r="K2" s="20"/>
      <c r="L2" s="14" t="s">
        <v>5</v>
      </c>
      <c r="M2" s="21"/>
      <c r="N2" s="21" t="s">
        <v>6</v>
      </c>
      <c r="O2" s="22"/>
      <c r="P2" s="14" t="s">
        <v>4</v>
      </c>
      <c r="Q2" s="23" t="s">
        <v>7</v>
      </c>
    </row>
    <row r="3" spans="1:17" s="34" customFormat="1" ht="24" customHeight="1" x14ac:dyDescent="0.15">
      <c r="A3" s="24"/>
      <c r="B3" s="25" t="s">
        <v>8</v>
      </c>
      <c r="C3" s="26" t="s">
        <v>9</v>
      </c>
      <c r="D3" s="27"/>
      <c r="E3" s="28"/>
      <c r="F3" s="28" t="s">
        <v>7</v>
      </c>
      <c r="G3" s="28"/>
      <c r="H3" s="28" t="s">
        <v>7</v>
      </c>
      <c r="I3" s="28"/>
      <c r="J3" s="28"/>
      <c r="K3" s="28"/>
      <c r="L3" s="29" t="s">
        <v>10</v>
      </c>
      <c r="M3" s="30"/>
      <c r="N3" s="31" t="s">
        <v>11</v>
      </c>
      <c r="O3" s="32"/>
      <c r="P3" s="33" t="s">
        <v>10</v>
      </c>
      <c r="Q3" s="34">
        <v>1</v>
      </c>
    </row>
    <row r="4" spans="1:17" s="48" customFormat="1" ht="16.5" customHeight="1" x14ac:dyDescent="0.15">
      <c r="A4" s="35"/>
      <c r="B4" s="36"/>
      <c r="C4" s="37">
        <v>4</v>
      </c>
      <c r="D4" s="38"/>
      <c r="E4" s="39"/>
      <c r="F4" s="40">
        <v>100</v>
      </c>
      <c r="G4" s="38"/>
      <c r="H4" s="40"/>
      <c r="I4" s="41">
        <v>70</v>
      </c>
      <c r="J4" s="40">
        <v>200</v>
      </c>
      <c r="K4" s="41"/>
      <c r="L4" s="42">
        <f t="shared" ref="L4:L9" si="0">SUM(F4:F4)+SUM(H4:H4)+SUM(I4:I4)+SUM(J4:J4)+SUM(K4:K4)</f>
        <v>370</v>
      </c>
      <c r="M4" s="43"/>
      <c r="N4" s="44"/>
      <c r="O4" s="45"/>
      <c r="P4" s="46">
        <v>200</v>
      </c>
      <c r="Q4" s="47">
        <v>3</v>
      </c>
    </row>
    <row r="5" spans="1:17" s="48" customFormat="1" ht="16.5" customHeight="1" x14ac:dyDescent="0.15">
      <c r="A5" s="35"/>
      <c r="B5" s="49"/>
      <c r="C5" s="50">
        <v>5</v>
      </c>
      <c r="D5" s="51"/>
      <c r="E5" s="52"/>
      <c r="F5" s="53">
        <v>200</v>
      </c>
      <c r="G5" s="51"/>
      <c r="H5" s="53"/>
      <c r="I5" s="54">
        <v>750</v>
      </c>
      <c r="J5" s="53">
        <v>200</v>
      </c>
      <c r="K5" s="54"/>
      <c r="L5" s="55">
        <f t="shared" si="0"/>
        <v>1150</v>
      </c>
      <c r="M5" s="43"/>
      <c r="N5" s="56"/>
      <c r="O5" s="45"/>
      <c r="P5" s="57">
        <v>200</v>
      </c>
      <c r="Q5" s="47">
        <v>5</v>
      </c>
    </row>
    <row r="6" spans="1:17" s="48" customFormat="1" ht="16.5" customHeight="1" x14ac:dyDescent="0.15">
      <c r="A6" s="35"/>
      <c r="B6" s="49"/>
      <c r="C6" s="50">
        <v>6</v>
      </c>
      <c r="D6" s="51"/>
      <c r="E6" s="52"/>
      <c r="F6" s="53">
        <v>600</v>
      </c>
      <c r="G6" s="51"/>
      <c r="H6" s="53">
        <v>400</v>
      </c>
      <c r="I6" s="54">
        <v>70</v>
      </c>
      <c r="J6" s="53">
        <v>200</v>
      </c>
      <c r="K6" s="54"/>
      <c r="L6" s="55">
        <f t="shared" si="0"/>
        <v>1270</v>
      </c>
      <c r="M6" s="43"/>
      <c r="N6" s="44"/>
      <c r="O6" s="45"/>
      <c r="P6" s="57">
        <v>200</v>
      </c>
      <c r="Q6" s="47">
        <v>8</v>
      </c>
    </row>
    <row r="7" spans="1:17" s="48" customFormat="1" ht="16.5" customHeight="1" x14ac:dyDescent="0.15">
      <c r="A7" s="35"/>
      <c r="B7" s="49"/>
      <c r="C7" s="50">
        <v>7</v>
      </c>
      <c r="D7" s="51"/>
      <c r="E7" s="52"/>
      <c r="F7" s="53">
        <v>900</v>
      </c>
      <c r="G7" s="51"/>
      <c r="H7" s="53">
        <v>1100</v>
      </c>
      <c r="I7" s="54">
        <v>70</v>
      </c>
      <c r="J7" s="53">
        <v>200</v>
      </c>
      <c r="K7" s="54"/>
      <c r="L7" s="55">
        <f t="shared" si="0"/>
        <v>2270</v>
      </c>
      <c r="M7" s="43"/>
      <c r="N7" s="44"/>
      <c r="O7" s="45"/>
      <c r="P7" s="57">
        <v>200</v>
      </c>
      <c r="Q7" s="47">
        <v>10</v>
      </c>
    </row>
    <row r="8" spans="1:17" s="48" customFormat="1" ht="16.5" customHeight="1" x14ac:dyDescent="0.15">
      <c r="A8" s="35"/>
      <c r="B8" s="49"/>
      <c r="C8" s="50">
        <v>8</v>
      </c>
      <c r="D8" s="51"/>
      <c r="E8" s="52"/>
      <c r="F8" s="53">
        <v>1000</v>
      </c>
      <c r="G8" s="51"/>
      <c r="H8" s="53"/>
      <c r="I8" s="54">
        <v>70</v>
      </c>
      <c r="J8" s="53">
        <v>200</v>
      </c>
      <c r="K8" s="54"/>
      <c r="L8" s="55">
        <f t="shared" si="0"/>
        <v>1270</v>
      </c>
      <c r="M8" s="43"/>
      <c r="N8" s="58"/>
      <c r="O8" s="45"/>
      <c r="P8" s="57">
        <v>200</v>
      </c>
      <c r="Q8" s="47">
        <v>12</v>
      </c>
    </row>
    <row r="9" spans="1:17" s="48" customFormat="1" ht="16.5" customHeight="1" x14ac:dyDescent="0.15">
      <c r="A9" s="35"/>
      <c r="B9" s="59"/>
      <c r="C9" s="60">
        <v>9</v>
      </c>
      <c r="D9" s="61"/>
      <c r="E9" s="62"/>
      <c r="F9" s="63">
        <v>1200</v>
      </c>
      <c r="G9" s="61"/>
      <c r="H9" s="63">
        <v>300</v>
      </c>
      <c r="I9" s="64">
        <v>70</v>
      </c>
      <c r="J9" s="63">
        <v>200</v>
      </c>
      <c r="K9" s="64"/>
      <c r="L9" s="65">
        <f t="shared" si="0"/>
        <v>1770</v>
      </c>
      <c r="M9" s="43"/>
      <c r="N9" s="44"/>
      <c r="O9" s="45"/>
      <c r="P9" s="66">
        <v>200</v>
      </c>
      <c r="Q9" s="47">
        <v>14</v>
      </c>
    </row>
    <row r="10" spans="1:17" s="48" customFormat="1" ht="20.25" customHeight="1" x14ac:dyDescent="0.15">
      <c r="A10" s="35"/>
      <c r="B10" s="67"/>
      <c r="C10" s="68" t="s">
        <v>12</v>
      </c>
      <c r="D10" s="69"/>
      <c r="E10" s="69"/>
      <c r="F10" s="70">
        <f>SUM(F4:F9)</f>
        <v>4000</v>
      </c>
      <c r="G10" s="71"/>
      <c r="H10" s="70">
        <f>SUM(H4:H9)</f>
        <v>1800</v>
      </c>
      <c r="I10" s="70">
        <f>SUM(I4:I9)</f>
        <v>1100</v>
      </c>
      <c r="J10" s="70">
        <f>SUM(J4:J9)</f>
        <v>1200</v>
      </c>
      <c r="K10" s="70">
        <f>SUM(K4:K9)</f>
        <v>0</v>
      </c>
      <c r="L10" s="72">
        <f>SUM(L4,L5,L6,L7,L8,L9)</f>
        <v>8100</v>
      </c>
      <c r="M10" s="73"/>
      <c r="N10" s="73">
        <f>SUM(N4:N9)</f>
        <v>0</v>
      </c>
      <c r="O10" s="45"/>
      <c r="P10" s="74">
        <f>SUM(P4,P5,P6,P7,P8,P9)</f>
        <v>1200</v>
      </c>
      <c r="Q10" s="47">
        <v>16</v>
      </c>
    </row>
    <row r="11" spans="1:17" s="48" customFormat="1" ht="16.5" customHeight="1" x14ac:dyDescent="0.15">
      <c r="A11" s="35"/>
      <c r="B11" s="75"/>
      <c r="C11" s="37">
        <v>10</v>
      </c>
      <c r="D11" s="38"/>
      <c r="E11" s="39"/>
      <c r="F11" s="40">
        <v>10</v>
      </c>
      <c r="G11" s="38"/>
      <c r="H11" s="40"/>
      <c r="I11" s="41">
        <v>70</v>
      </c>
      <c r="J11" s="40">
        <v>200</v>
      </c>
      <c r="K11" s="41"/>
      <c r="L11" s="42">
        <f t="shared" ref="L11:L16" si="1">SUM(F11:F11)+SUM(H11:H11)+SUM(I11:I11)+SUM(J11:J11)+SUM(K11:K11)</f>
        <v>280</v>
      </c>
      <c r="M11" s="43"/>
      <c r="N11" s="44">
        <v>0</v>
      </c>
      <c r="O11" s="45"/>
      <c r="P11" s="46">
        <v>200</v>
      </c>
      <c r="Q11" s="47">
        <v>18</v>
      </c>
    </row>
    <row r="12" spans="1:17" s="48" customFormat="1" ht="16.5" customHeight="1" x14ac:dyDescent="0.15">
      <c r="A12" s="35"/>
      <c r="B12" s="49"/>
      <c r="C12" s="50">
        <v>11</v>
      </c>
      <c r="D12" s="51"/>
      <c r="E12" s="52"/>
      <c r="F12" s="53">
        <v>20</v>
      </c>
      <c r="G12" s="51"/>
      <c r="H12" s="53"/>
      <c r="I12" s="54">
        <v>70</v>
      </c>
      <c r="J12" s="53">
        <v>200</v>
      </c>
      <c r="K12" s="54"/>
      <c r="L12" s="55">
        <f t="shared" si="1"/>
        <v>290</v>
      </c>
      <c r="M12" s="43"/>
      <c r="N12" s="44">
        <v>0</v>
      </c>
      <c r="O12" s="45"/>
      <c r="P12" s="57">
        <v>200</v>
      </c>
      <c r="Q12" s="47">
        <v>20</v>
      </c>
    </row>
    <row r="13" spans="1:17" s="48" customFormat="1" ht="16.5" customHeight="1" x14ac:dyDescent="0.15">
      <c r="A13" s="35"/>
      <c r="B13" s="49"/>
      <c r="C13" s="50">
        <v>12</v>
      </c>
      <c r="D13" s="51"/>
      <c r="E13" s="52"/>
      <c r="F13" s="53">
        <v>30</v>
      </c>
      <c r="G13" s="51"/>
      <c r="H13" s="53"/>
      <c r="I13" s="54">
        <v>70</v>
      </c>
      <c r="J13" s="53">
        <v>200</v>
      </c>
      <c r="K13" s="54"/>
      <c r="L13" s="55">
        <f t="shared" si="1"/>
        <v>300</v>
      </c>
      <c r="M13" s="43"/>
      <c r="N13" s="44">
        <v>0</v>
      </c>
      <c r="O13" s="45"/>
      <c r="P13" s="57">
        <v>200</v>
      </c>
      <c r="Q13" s="47">
        <v>22</v>
      </c>
    </row>
    <row r="14" spans="1:17" s="48" customFormat="1" ht="16.5" customHeight="1" x14ac:dyDescent="0.15">
      <c r="A14" s="35"/>
      <c r="B14" s="49"/>
      <c r="C14" s="50">
        <v>1</v>
      </c>
      <c r="D14" s="51"/>
      <c r="E14" s="52"/>
      <c r="F14" s="53">
        <v>40</v>
      </c>
      <c r="G14" s="51"/>
      <c r="H14" s="53"/>
      <c r="I14" s="54">
        <v>70</v>
      </c>
      <c r="J14" s="53">
        <v>200</v>
      </c>
      <c r="K14" s="54"/>
      <c r="L14" s="55">
        <f t="shared" si="1"/>
        <v>310</v>
      </c>
      <c r="M14" s="43"/>
      <c r="N14" s="44">
        <v>0</v>
      </c>
      <c r="O14" s="45"/>
      <c r="P14" s="57">
        <v>200</v>
      </c>
      <c r="Q14" s="47">
        <v>24</v>
      </c>
    </row>
    <row r="15" spans="1:17" s="48" customFormat="1" ht="16.5" customHeight="1" x14ac:dyDescent="0.15">
      <c r="A15" s="35"/>
      <c r="B15" s="49"/>
      <c r="C15" s="50">
        <v>2</v>
      </c>
      <c r="D15" s="51"/>
      <c r="E15" s="52"/>
      <c r="F15" s="53">
        <v>50</v>
      </c>
      <c r="G15" s="51"/>
      <c r="H15" s="53"/>
      <c r="I15" s="54">
        <v>70</v>
      </c>
      <c r="J15" s="53">
        <v>200</v>
      </c>
      <c r="K15" s="54"/>
      <c r="L15" s="55">
        <f t="shared" si="1"/>
        <v>320</v>
      </c>
      <c r="M15" s="43"/>
      <c r="N15" s="44">
        <v>0</v>
      </c>
      <c r="O15" s="45"/>
      <c r="P15" s="57">
        <v>200</v>
      </c>
      <c r="Q15" s="47">
        <v>26</v>
      </c>
    </row>
    <row r="16" spans="1:17" s="48" customFormat="1" ht="16.5" customHeight="1" x14ac:dyDescent="0.15">
      <c r="A16" s="35"/>
      <c r="B16" s="49"/>
      <c r="C16" s="50">
        <v>3</v>
      </c>
      <c r="D16" s="51"/>
      <c r="E16" s="52"/>
      <c r="F16" s="53">
        <v>3000</v>
      </c>
      <c r="G16" s="51"/>
      <c r="H16" s="53">
        <v>3000</v>
      </c>
      <c r="I16" s="54">
        <v>70</v>
      </c>
      <c r="J16" s="53">
        <v>200</v>
      </c>
      <c r="K16" s="54"/>
      <c r="L16" s="55">
        <f t="shared" si="1"/>
        <v>6270</v>
      </c>
      <c r="M16" s="43"/>
      <c r="N16" s="44">
        <v>0</v>
      </c>
      <c r="O16" s="45"/>
      <c r="P16" s="57">
        <v>200</v>
      </c>
      <c r="Q16" s="47">
        <v>28</v>
      </c>
    </row>
    <row r="17" spans="1:17" s="48" customFormat="1" ht="21" customHeight="1" x14ac:dyDescent="0.15">
      <c r="A17" s="35"/>
      <c r="B17" s="76"/>
      <c r="C17" s="60" t="s">
        <v>13</v>
      </c>
      <c r="D17" s="77"/>
      <c r="E17" s="77"/>
      <c r="F17" s="64">
        <f>SUM(F11:F16)</f>
        <v>3150</v>
      </c>
      <c r="G17" s="78"/>
      <c r="H17" s="64">
        <f>SUM(H11:H16)</f>
        <v>3000</v>
      </c>
      <c r="I17" s="64">
        <f>SUM(I11:I16)</f>
        <v>420</v>
      </c>
      <c r="J17" s="64">
        <f>SUM(J11:J16)</f>
        <v>1200</v>
      </c>
      <c r="K17" s="64">
        <f>SUM(K11:K16)</f>
        <v>0</v>
      </c>
      <c r="L17" s="79">
        <f>SUM(L11,L12,L13,L14,L15,L16)</f>
        <v>7770</v>
      </c>
      <c r="M17" s="73"/>
      <c r="N17" s="73">
        <f>SUM(N11:N16)</f>
        <v>0</v>
      </c>
      <c r="O17" s="45"/>
      <c r="P17" s="80">
        <f>SUM(P11,P12,P13,P14,P15,P16)</f>
        <v>1200</v>
      </c>
      <c r="Q17" s="47">
        <v>30</v>
      </c>
    </row>
    <row r="18" spans="1:17" s="81" customFormat="1" ht="18" customHeight="1" x14ac:dyDescent="0.15">
      <c r="B18" s="82" t="s">
        <v>14</v>
      </c>
      <c r="C18" s="83"/>
      <c r="D18" s="84"/>
      <c r="E18" s="84"/>
      <c r="F18" s="85">
        <f>F10+F17</f>
        <v>7150</v>
      </c>
      <c r="G18" s="86"/>
      <c r="H18" s="85">
        <f>H10+H17</f>
        <v>4800</v>
      </c>
      <c r="I18" s="87">
        <f>I10+I17</f>
        <v>1520</v>
      </c>
      <c r="J18" s="87">
        <f>J10+J17</f>
        <v>2400</v>
      </c>
      <c r="K18" s="87">
        <f>K10+K17</f>
        <v>0</v>
      </c>
      <c r="L18" s="88">
        <f>L10+L17</f>
        <v>15870</v>
      </c>
      <c r="M18" s="89"/>
      <c r="N18" s="89">
        <f>N10+N17</f>
        <v>0</v>
      </c>
      <c r="O18" s="90"/>
      <c r="P18" s="91">
        <f>SUM(P10,P17)</f>
        <v>2400</v>
      </c>
      <c r="Q18" s="92">
        <v>32</v>
      </c>
    </row>
    <row r="19" spans="1:17" s="104" customFormat="1" x14ac:dyDescent="0.15">
      <c r="A19" s="93"/>
      <c r="B19" s="94"/>
      <c r="C19" s="95"/>
      <c r="D19" s="96"/>
      <c r="E19" s="96"/>
      <c r="F19" s="97"/>
      <c r="G19" s="98"/>
      <c r="H19" s="97"/>
      <c r="I19" s="99"/>
      <c r="J19" s="97"/>
      <c r="K19" s="97"/>
      <c r="L19" s="100"/>
      <c r="M19" s="97"/>
      <c r="N19" s="101" t="s">
        <v>15</v>
      </c>
      <c r="O19" s="102"/>
      <c r="P19" s="103"/>
    </row>
    <row r="20" spans="1:17" s="105" customFormat="1" ht="15" customHeight="1" x14ac:dyDescent="0.15">
      <c r="B20" s="106" t="s">
        <v>16</v>
      </c>
      <c r="C20" s="107"/>
      <c r="D20" s="107"/>
      <c r="E20" s="108"/>
      <c r="F20" s="109"/>
      <c r="G20" s="108"/>
      <c r="H20" s="110"/>
      <c r="J20" s="111"/>
      <c r="K20" s="112"/>
      <c r="L20" s="112"/>
      <c r="M20" s="113"/>
      <c r="N20" s="113"/>
      <c r="O20" s="112"/>
      <c r="P20" s="114"/>
    </row>
    <row r="21" spans="1:17" s="121" customFormat="1" ht="27" customHeight="1" x14ac:dyDescent="0.15">
      <c r="A21" s="115"/>
      <c r="B21" s="116" t="s">
        <v>8</v>
      </c>
      <c r="C21" s="117" t="s">
        <v>9</v>
      </c>
      <c r="D21" s="1" t="s">
        <v>17</v>
      </c>
      <c r="E21" s="149" t="s">
        <v>18</v>
      </c>
      <c r="F21" s="149"/>
      <c r="G21" s="143" t="s">
        <v>19</v>
      </c>
      <c r="H21" s="119"/>
      <c r="I21" s="120"/>
      <c r="K21" s="122"/>
      <c r="L21" s="144"/>
      <c r="M21" s="123"/>
      <c r="N21" s="123" t="s">
        <v>20</v>
      </c>
      <c r="O21" s="124"/>
    </row>
    <row r="22" spans="1:17" ht="15.75" customHeight="1" x14ac:dyDescent="0.15">
      <c r="A22" s="125"/>
      <c r="B22" s="126">
        <v>2025</v>
      </c>
      <c r="C22" s="127">
        <v>4</v>
      </c>
      <c r="D22" s="128" t="s">
        <v>35</v>
      </c>
      <c r="E22" s="146" t="s">
        <v>22</v>
      </c>
      <c r="F22" s="146"/>
      <c r="G22" s="129">
        <v>500</v>
      </c>
      <c r="H22" s="101"/>
      <c r="I22" s="130"/>
      <c r="J22" s="131"/>
      <c r="K22" s="101"/>
      <c r="L22" s="132"/>
      <c r="M22" s="132"/>
      <c r="N22" s="132"/>
      <c r="O22" s="124"/>
    </row>
    <row r="23" spans="1:17" ht="15.75" customHeight="1" x14ac:dyDescent="0.15">
      <c r="A23" s="125"/>
      <c r="B23" s="126">
        <v>2025</v>
      </c>
      <c r="C23" s="127">
        <v>5</v>
      </c>
      <c r="D23" s="128" t="s">
        <v>36</v>
      </c>
      <c r="E23" s="146" t="s">
        <v>22</v>
      </c>
      <c r="F23" s="146"/>
      <c r="G23" s="129">
        <v>400</v>
      </c>
      <c r="H23" s="101"/>
      <c r="I23" s="130"/>
      <c r="J23" s="131"/>
      <c r="K23" s="101"/>
      <c r="L23" s="132"/>
      <c r="M23" s="132"/>
      <c r="N23" s="132"/>
      <c r="O23" s="124"/>
    </row>
    <row r="24" spans="1:17" ht="15.75" customHeight="1" x14ac:dyDescent="0.15">
      <c r="A24" s="125"/>
      <c r="B24" s="126">
        <v>2025</v>
      </c>
      <c r="C24" s="127">
        <v>6</v>
      </c>
      <c r="D24" s="128" t="s">
        <v>37</v>
      </c>
      <c r="E24" s="146" t="s">
        <v>22</v>
      </c>
      <c r="F24" s="146"/>
      <c r="G24" s="129">
        <v>600</v>
      </c>
      <c r="H24" s="101"/>
      <c r="I24" s="130"/>
      <c r="J24" s="131"/>
      <c r="K24" s="101"/>
      <c r="L24" s="132"/>
      <c r="M24" s="132"/>
      <c r="N24" s="132"/>
      <c r="O24" s="124"/>
    </row>
    <row r="25" spans="1:17" ht="15.75" customHeight="1" x14ac:dyDescent="0.15">
      <c r="A25" s="125"/>
      <c r="B25" s="126">
        <v>2025</v>
      </c>
      <c r="C25" s="127">
        <v>7</v>
      </c>
      <c r="D25" s="128" t="s">
        <v>38</v>
      </c>
      <c r="E25" s="146" t="s">
        <v>22</v>
      </c>
      <c r="F25" s="146"/>
      <c r="G25" s="129">
        <v>700</v>
      </c>
      <c r="H25" s="101"/>
      <c r="I25" s="130"/>
      <c r="J25" s="131"/>
      <c r="K25" s="101"/>
      <c r="L25" s="132"/>
      <c r="M25" s="132"/>
      <c r="N25" s="132"/>
      <c r="O25" s="124"/>
    </row>
    <row r="26" spans="1:17" ht="15.75" customHeight="1" x14ac:dyDescent="0.15">
      <c r="A26" s="125"/>
      <c r="B26" s="126">
        <v>2025</v>
      </c>
      <c r="C26" s="127">
        <v>8</v>
      </c>
      <c r="D26" s="128" t="s">
        <v>39</v>
      </c>
      <c r="E26" s="146" t="s">
        <v>22</v>
      </c>
      <c r="F26" s="146"/>
      <c r="G26" s="129">
        <v>3000</v>
      </c>
      <c r="H26" s="101"/>
      <c r="I26" s="145"/>
      <c r="J26" s="101"/>
      <c r="K26" s="101"/>
      <c r="L26" s="132"/>
      <c r="M26" s="132"/>
      <c r="N26" s="132"/>
      <c r="O26" s="124"/>
    </row>
    <row r="27" spans="1:17" ht="15.75" customHeight="1" x14ac:dyDescent="0.15">
      <c r="A27" s="125"/>
      <c r="B27" s="126">
        <v>2026</v>
      </c>
      <c r="C27" s="127">
        <v>1</v>
      </c>
      <c r="D27" s="128" t="s">
        <v>40</v>
      </c>
      <c r="E27" s="146" t="s">
        <v>22</v>
      </c>
      <c r="F27" s="146"/>
      <c r="G27" s="129">
        <v>200</v>
      </c>
      <c r="H27" s="101"/>
      <c r="I27" s="130"/>
      <c r="J27" s="101"/>
      <c r="K27" s="101"/>
      <c r="L27" s="132"/>
      <c r="M27" s="132"/>
      <c r="N27" s="132"/>
      <c r="O27" s="124"/>
    </row>
    <row r="28" spans="1:17" ht="15.75" customHeight="1" x14ac:dyDescent="0.15">
      <c r="A28" s="125"/>
      <c r="B28" s="126">
        <v>2026</v>
      </c>
      <c r="C28" s="127">
        <v>2</v>
      </c>
      <c r="D28" s="128" t="s">
        <v>41</v>
      </c>
      <c r="E28" s="146" t="s">
        <v>29</v>
      </c>
      <c r="F28" s="146"/>
      <c r="G28" s="129"/>
      <c r="H28" s="101"/>
      <c r="I28" s="130"/>
      <c r="J28" s="101"/>
      <c r="K28" s="101"/>
      <c r="L28" s="132"/>
      <c r="M28" s="132"/>
      <c r="N28" s="132"/>
      <c r="O28" s="124"/>
    </row>
    <row r="29" spans="1:17" ht="15.75" customHeight="1" x14ac:dyDescent="0.15">
      <c r="A29" s="125"/>
      <c r="B29" s="126">
        <v>2026</v>
      </c>
      <c r="C29" s="127">
        <v>3</v>
      </c>
      <c r="D29" s="128" t="s">
        <v>42</v>
      </c>
      <c r="E29" s="146" t="s">
        <v>29</v>
      </c>
      <c r="F29" s="146"/>
      <c r="G29" s="133"/>
      <c r="H29" s="101"/>
      <c r="I29" s="130"/>
      <c r="J29" s="101"/>
      <c r="K29" s="101"/>
      <c r="L29" s="132"/>
      <c r="M29" s="132"/>
      <c r="N29" s="132"/>
      <c r="O29" s="124"/>
    </row>
    <row r="30" spans="1:17" ht="15.75" hidden="1" customHeight="1" x14ac:dyDescent="0.15">
      <c r="A30" s="125"/>
      <c r="B30" s="134"/>
      <c r="C30" s="127"/>
      <c r="D30" s="135" t="s">
        <v>43</v>
      </c>
      <c r="E30" s="146"/>
      <c r="F30" s="146"/>
      <c r="G30" s="133"/>
      <c r="H30" s="101"/>
      <c r="I30" s="130"/>
      <c r="J30" s="101"/>
      <c r="K30" s="101"/>
      <c r="L30" s="132"/>
      <c r="M30" s="136"/>
      <c r="N30" s="136"/>
      <c r="O30" s="124"/>
    </row>
    <row r="31" spans="1:17" ht="15.75" hidden="1" customHeight="1" x14ac:dyDescent="0.15">
      <c r="A31" s="125"/>
      <c r="B31" s="134"/>
      <c r="C31" s="127"/>
      <c r="D31" s="135" t="s">
        <v>44</v>
      </c>
      <c r="E31" s="146"/>
      <c r="F31" s="146"/>
      <c r="G31" s="133"/>
      <c r="H31" s="101"/>
      <c r="I31" s="130"/>
      <c r="J31" s="101"/>
      <c r="K31" s="101"/>
      <c r="L31" s="132"/>
      <c r="O31" s="124"/>
    </row>
    <row r="32" spans="1:17" ht="15.75" hidden="1" customHeight="1" x14ac:dyDescent="0.15">
      <c r="A32" s="125"/>
      <c r="B32" s="134"/>
      <c r="C32" s="127"/>
      <c r="D32" s="135" t="s">
        <v>45</v>
      </c>
      <c r="E32" s="146"/>
      <c r="F32" s="146"/>
      <c r="G32" s="133"/>
      <c r="H32" s="101"/>
      <c r="I32" s="130"/>
      <c r="J32" s="101"/>
      <c r="K32" s="101"/>
      <c r="L32" s="132"/>
      <c r="M32" s="137"/>
      <c r="N32" s="137"/>
      <c r="O32" s="124"/>
    </row>
    <row r="33" spans="1:15" ht="15.75" hidden="1" customHeight="1" x14ac:dyDescent="0.15">
      <c r="A33" s="125"/>
      <c r="B33" s="134"/>
      <c r="C33" s="127"/>
      <c r="D33" s="135" t="s">
        <v>46</v>
      </c>
      <c r="E33" s="146"/>
      <c r="F33" s="146"/>
      <c r="G33" s="133"/>
      <c r="H33" s="101"/>
      <c r="I33" s="130"/>
      <c r="J33" s="101"/>
      <c r="K33" s="101"/>
      <c r="L33" s="132"/>
      <c r="M33" s="138"/>
      <c r="N33" s="138"/>
      <c r="O33" s="124"/>
    </row>
    <row r="34" spans="1:15" ht="15.75" customHeight="1" x14ac:dyDescent="0.15">
      <c r="A34" s="125"/>
      <c r="B34" s="139"/>
      <c r="C34" s="140"/>
      <c r="D34" s="141"/>
      <c r="E34" s="147"/>
      <c r="F34" s="147"/>
      <c r="G34" s="142"/>
      <c r="H34" s="101"/>
      <c r="I34" s="130"/>
      <c r="J34" s="101"/>
      <c r="K34" s="101"/>
      <c r="L34" s="132"/>
      <c r="M34" s="138"/>
      <c r="N34" s="138"/>
      <c r="O34" s="124"/>
    </row>
  </sheetData>
  <mergeCells count="15">
    <mergeCell ref="K1:L1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</mergeCells>
  <phoneticPr fontId="36"/>
  <dataValidations count="3">
    <dataValidation type="list" showInputMessage="1" showErrorMessage="1" sqref="E4:E9 E11:E16 M30:N30" xr:uid="{00000000-0002-0000-0100-000000000000}">
      <formula1>#REF!</formula1>
      <formula2>0</formula2>
    </dataValidation>
    <dataValidation type="list" allowBlank="1" showInputMessage="1" showErrorMessage="1" sqref="E22:F34" xr:uid="{00000000-0002-0000-0100-000001000000}">
      <formula1>"取得,除却,　　"</formula1>
      <formula2>0</formula2>
    </dataValidation>
    <dataValidation type="list" showInputMessage="1" showErrorMessage="1" sqref="L22:N29 L30:L34" xr:uid="{00000000-0002-0000-0100-000002000000}">
      <formula1>"期中取得,起業,　　"</formula1>
      <formula2>0</formula2>
    </dataValidation>
  </dataValidations>
  <pageMargins left="0.118055555555556" right="0" top="0.39374999999999999" bottom="0" header="0.511811023622047" footer="0.511811023622047"/>
  <pageSetup paperSize="9" orientation="portrait" horizontalDpi="300" verticalDpi="30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99FF"/>
    <pageSetUpPr fitToPage="1"/>
  </sheetPr>
  <dimension ref="A1:AMJ34"/>
  <sheetViews>
    <sheetView showGridLines="0" tabSelected="1" zoomScaleNormal="100" workbookViewId="0">
      <selection activeCell="T7" sqref="T7"/>
    </sheetView>
  </sheetViews>
  <sheetFormatPr defaultColWidth="9" defaultRowHeight="14.25" x14ac:dyDescent="0.15"/>
  <cols>
    <col min="1" max="1" width="2.625" style="2" customWidth="1"/>
    <col min="2" max="2" width="5" style="2" customWidth="1"/>
    <col min="3" max="3" width="4.125" style="2" customWidth="1"/>
    <col min="4" max="4" width="15.125" style="3" customWidth="1"/>
    <col min="5" max="5" width="4.625" style="3" customWidth="1"/>
    <col min="6" max="6" width="8.625" style="4" customWidth="1"/>
    <col min="7" max="7" width="8.625" style="3" customWidth="1"/>
    <col min="8" max="8" width="8.625" style="5" customWidth="1"/>
    <col min="9" max="9" width="10.125" style="3" customWidth="1"/>
    <col min="10" max="10" width="10.125" style="4" customWidth="1"/>
    <col min="11" max="11" width="4.125" style="4" customWidth="1"/>
    <col min="12" max="12" width="12.375" style="3" customWidth="1"/>
    <col min="13" max="13" width="0.625" style="3" customWidth="1"/>
    <col min="14" max="14" width="11.125" style="3" hidden="1" customWidth="1"/>
    <col min="15" max="15" width="3" style="3" customWidth="1"/>
    <col min="16" max="16" width="14.125" style="3" customWidth="1"/>
    <col min="17" max="1024" width="9" style="3"/>
  </cols>
  <sheetData>
    <row r="1" spans="1:17" ht="20.25" customHeight="1" x14ac:dyDescent="0.2">
      <c r="D1" s="6" t="s">
        <v>0</v>
      </c>
      <c r="E1" s="6"/>
      <c r="F1" s="7"/>
      <c r="J1" s="8" t="s">
        <v>1</v>
      </c>
      <c r="K1" s="148">
        <v>45992</v>
      </c>
      <c r="L1" s="148"/>
      <c r="M1" s="9"/>
      <c r="N1" s="10" t="s">
        <v>2</v>
      </c>
      <c r="O1" s="11"/>
      <c r="P1" s="12"/>
    </row>
    <row r="2" spans="1:17" s="13" customFormat="1" ht="19.5" customHeight="1" x14ac:dyDescent="0.15">
      <c r="B2" s="14" t="s">
        <v>3</v>
      </c>
      <c r="C2" s="15"/>
      <c r="D2" s="15"/>
      <c r="E2" s="14"/>
      <c r="F2" s="16" t="s">
        <v>4</v>
      </c>
      <c r="G2" s="17"/>
      <c r="H2" s="18" t="s">
        <v>5</v>
      </c>
      <c r="J2" s="19"/>
      <c r="K2" s="20"/>
      <c r="L2" s="14" t="s">
        <v>4</v>
      </c>
      <c r="M2" s="21"/>
      <c r="N2" s="21" t="s">
        <v>6</v>
      </c>
      <c r="O2" s="22"/>
      <c r="P2" s="14" t="s">
        <v>5</v>
      </c>
      <c r="Q2" s="23" t="s">
        <v>7</v>
      </c>
    </row>
    <row r="3" spans="1:17" s="34" customFormat="1" ht="24" customHeight="1" x14ac:dyDescent="0.15">
      <c r="A3" s="24"/>
      <c r="B3" s="25" t="s">
        <v>8</v>
      </c>
      <c r="C3" s="26" t="s">
        <v>9</v>
      </c>
      <c r="D3" s="27"/>
      <c r="E3" s="28"/>
      <c r="F3" s="28" t="s">
        <v>7</v>
      </c>
      <c r="G3" s="28"/>
      <c r="H3" s="28" t="s">
        <v>7</v>
      </c>
      <c r="I3" s="28"/>
      <c r="J3" s="28"/>
      <c r="K3" s="28"/>
      <c r="L3" s="29" t="s">
        <v>10</v>
      </c>
      <c r="M3" s="30"/>
      <c r="N3" s="31" t="s">
        <v>11</v>
      </c>
      <c r="O3" s="32"/>
      <c r="P3" s="33" t="s">
        <v>10</v>
      </c>
      <c r="Q3" s="34">
        <v>1</v>
      </c>
    </row>
    <row r="4" spans="1:17" s="48" customFormat="1" ht="16.5" customHeight="1" x14ac:dyDescent="0.15">
      <c r="A4" s="35"/>
      <c r="B4" s="36"/>
      <c r="C4" s="37">
        <v>4</v>
      </c>
      <c r="D4" s="38"/>
      <c r="E4" s="39"/>
      <c r="F4" s="40">
        <v>1</v>
      </c>
      <c r="G4" s="38"/>
      <c r="H4" s="40"/>
      <c r="I4" s="41">
        <v>70</v>
      </c>
      <c r="J4" s="40">
        <v>200</v>
      </c>
      <c r="K4" s="41"/>
      <c r="L4" s="42">
        <v>300</v>
      </c>
      <c r="M4" s="43"/>
      <c r="N4" s="44"/>
      <c r="O4" s="45"/>
      <c r="P4" s="46">
        <v>100</v>
      </c>
      <c r="Q4" s="47">
        <v>3</v>
      </c>
    </row>
    <row r="5" spans="1:17" s="48" customFormat="1" ht="16.5" customHeight="1" x14ac:dyDescent="0.15">
      <c r="A5" s="35"/>
      <c r="B5" s="49"/>
      <c r="C5" s="50">
        <v>5</v>
      </c>
      <c r="D5" s="51"/>
      <c r="E5" s="52"/>
      <c r="F5" s="53">
        <v>3</v>
      </c>
      <c r="G5" s="51"/>
      <c r="H5" s="53"/>
      <c r="I5" s="54">
        <v>750</v>
      </c>
      <c r="J5" s="53">
        <v>200</v>
      </c>
      <c r="K5" s="54"/>
      <c r="L5" s="42">
        <v>300</v>
      </c>
      <c r="M5" s="43"/>
      <c r="N5" s="56"/>
      <c r="O5" s="45"/>
      <c r="P5" s="46">
        <v>100</v>
      </c>
      <c r="Q5" s="47">
        <v>5</v>
      </c>
    </row>
    <row r="6" spans="1:17" s="48" customFormat="1" ht="16.5" customHeight="1" x14ac:dyDescent="0.15">
      <c r="A6" s="35"/>
      <c r="B6" s="49"/>
      <c r="C6" s="50">
        <v>6</v>
      </c>
      <c r="D6" s="51"/>
      <c r="E6" s="52"/>
      <c r="F6" s="53">
        <v>6</v>
      </c>
      <c r="G6" s="51"/>
      <c r="H6" s="53">
        <v>400</v>
      </c>
      <c r="I6" s="54">
        <v>70</v>
      </c>
      <c r="J6" s="53">
        <v>200</v>
      </c>
      <c r="K6" s="54"/>
      <c r="L6" s="42">
        <v>300</v>
      </c>
      <c r="M6" s="43"/>
      <c r="N6" s="44"/>
      <c r="O6" s="45"/>
      <c r="P6" s="46">
        <v>100</v>
      </c>
      <c r="Q6" s="47">
        <v>8</v>
      </c>
    </row>
    <row r="7" spans="1:17" s="48" customFormat="1" ht="16.5" customHeight="1" x14ac:dyDescent="0.15">
      <c r="A7" s="35"/>
      <c r="B7" s="49"/>
      <c r="C7" s="50">
        <v>7</v>
      </c>
      <c r="D7" s="51"/>
      <c r="E7" s="52"/>
      <c r="F7" s="53">
        <v>8</v>
      </c>
      <c r="G7" s="51"/>
      <c r="H7" s="53">
        <v>1100</v>
      </c>
      <c r="I7" s="54">
        <v>70</v>
      </c>
      <c r="J7" s="53">
        <v>200</v>
      </c>
      <c r="K7" s="54"/>
      <c r="L7" s="42">
        <v>300</v>
      </c>
      <c r="M7" s="43"/>
      <c r="N7" s="44"/>
      <c r="O7" s="45"/>
      <c r="P7" s="46">
        <v>100</v>
      </c>
      <c r="Q7" s="47">
        <v>10</v>
      </c>
    </row>
    <row r="8" spans="1:17" s="48" customFormat="1" ht="16.5" customHeight="1" x14ac:dyDescent="0.15">
      <c r="A8" s="35"/>
      <c r="B8" s="49"/>
      <c r="C8" s="50">
        <v>8</v>
      </c>
      <c r="D8" s="51"/>
      <c r="E8" s="52"/>
      <c r="F8" s="53">
        <v>10</v>
      </c>
      <c r="G8" s="51"/>
      <c r="H8" s="53"/>
      <c r="I8" s="54">
        <v>70</v>
      </c>
      <c r="J8" s="53">
        <v>200</v>
      </c>
      <c r="K8" s="54"/>
      <c r="L8" s="42">
        <v>300</v>
      </c>
      <c r="M8" s="43"/>
      <c r="N8" s="58"/>
      <c r="O8" s="45"/>
      <c r="P8" s="46">
        <v>100</v>
      </c>
      <c r="Q8" s="47">
        <v>12</v>
      </c>
    </row>
    <row r="9" spans="1:17" s="48" customFormat="1" ht="16.5" customHeight="1" x14ac:dyDescent="0.15">
      <c r="A9" s="35"/>
      <c r="B9" s="59"/>
      <c r="C9" s="60">
        <v>9</v>
      </c>
      <c r="D9" s="61"/>
      <c r="E9" s="62"/>
      <c r="F9" s="63">
        <v>12</v>
      </c>
      <c r="G9" s="61"/>
      <c r="H9" s="63">
        <v>300</v>
      </c>
      <c r="I9" s="64">
        <v>70</v>
      </c>
      <c r="J9" s="63">
        <v>200</v>
      </c>
      <c r="K9" s="64"/>
      <c r="L9" s="42">
        <v>300</v>
      </c>
      <c r="M9" s="43"/>
      <c r="N9" s="44"/>
      <c r="O9" s="45"/>
      <c r="P9" s="46">
        <v>100</v>
      </c>
      <c r="Q9" s="47">
        <v>14</v>
      </c>
    </row>
    <row r="10" spans="1:17" s="48" customFormat="1" ht="20.25" customHeight="1" x14ac:dyDescent="0.15">
      <c r="A10" s="35"/>
      <c r="B10" s="67"/>
      <c r="C10" s="68" t="s">
        <v>12</v>
      </c>
      <c r="D10" s="69"/>
      <c r="E10" s="69"/>
      <c r="F10" s="70">
        <f>SUM(F4:F9)</f>
        <v>40</v>
      </c>
      <c r="G10" s="71"/>
      <c r="H10" s="70">
        <f>SUM(H4:H9)</f>
        <v>1800</v>
      </c>
      <c r="I10" s="70">
        <f>SUM(I4:I9)</f>
        <v>1100</v>
      </c>
      <c r="J10" s="70">
        <f>SUM(J4:J9)</f>
        <v>1200</v>
      </c>
      <c r="K10" s="70">
        <f>SUM(K4:K9)</f>
        <v>0</v>
      </c>
      <c r="L10" s="72">
        <f>SUM(L4,L5,L6,L7,L8,L9)</f>
        <v>1800</v>
      </c>
      <c r="M10" s="73"/>
      <c r="N10" s="73">
        <f>SUM(N4:N9)</f>
        <v>0</v>
      </c>
      <c r="O10" s="45"/>
      <c r="P10" s="74">
        <f>SUM(P4,P5,P6,P7,P8,P9)</f>
        <v>600</v>
      </c>
      <c r="Q10" s="47">
        <v>16</v>
      </c>
    </row>
    <row r="11" spans="1:17" s="48" customFormat="1" ht="16.5" customHeight="1" x14ac:dyDescent="0.15">
      <c r="A11" s="35"/>
      <c r="B11" s="75"/>
      <c r="C11" s="37">
        <v>10</v>
      </c>
      <c r="D11" s="38"/>
      <c r="E11" s="39"/>
      <c r="F11" s="40"/>
      <c r="G11" s="38"/>
      <c r="H11" s="40"/>
      <c r="I11" s="41">
        <v>70</v>
      </c>
      <c r="J11" s="40">
        <v>200</v>
      </c>
      <c r="K11" s="41"/>
      <c r="L11" s="42">
        <v>500</v>
      </c>
      <c r="M11" s="43"/>
      <c r="N11" s="44">
        <v>0</v>
      </c>
      <c r="O11" s="45"/>
      <c r="P11" s="46">
        <v>200</v>
      </c>
      <c r="Q11" s="47">
        <v>18</v>
      </c>
    </row>
    <row r="12" spans="1:17" s="48" customFormat="1" ht="16.5" customHeight="1" x14ac:dyDescent="0.15">
      <c r="A12" s="35"/>
      <c r="B12" s="49"/>
      <c r="C12" s="50">
        <v>11</v>
      </c>
      <c r="D12" s="51"/>
      <c r="E12" s="52"/>
      <c r="F12" s="53"/>
      <c r="G12" s="51"/>
      <c r="H12" s="53"/>
      <c r="I12" s="54">
        <v>70</v>
      </c>
      <c r="J12" s="53">
        <v>200</v>
      </c>
      <c r="K12" s="54"/>
      <c r="L12" s="55">
        <v>500</v>
      </c>
      <c r="M12" s="43"/>
      <c r="N12" s="44">
        <v>0</v>
      </c>
      <c r="O12" s="45"/>
      <c r="P12" s="57">
        <v>200</v>
      </c>
      <c r="Q12" s="47">
        <v>20</v>
      </c>
    </row>
    <row r="13" spans="1:17" s="48" customFormat="1" ht="16.5" customHeight="1" x14ac:dyDescent="0.15">
      <c r="A13" s="35"/>
      <c r="B13" s="49"/>
      <c r="C13" s="50">
        <v>12</v>
      </c>
      <c r="D13" s="51"/>
      <c r="E13" s="52"/>
      <c r="F13" s="53"/>
      <c r="G13" s="51"/>
      <c r="H13" s="53"/>
      <c r="I13" s="54">
        <v>70</v>
      </c>
      <c r="J13" s="53">
        <v>200</v>
      </c>
      <c r="K13" s="54"/>
      <c r="L13" s="55">
        <v>500</v>
      </c>
      <c r="M13" s="43"/>
      <c r="N13" s="44">
        <v>0</v>
      </c>
      <c r="O13" s="45"/>
      <c r="P13" s="57">
        <v>200</v>
      </c>
      <c r="Q13" s="47">
        <v>22</v>
      </c>
    </row>
    <row r="14" spans="1:17" s="48" customFormat="1" ht="16.5" customHeight="1" x14ac:dyDescent="0.15">
      <c r="A14" s="35"/>
      <c r="B14" s="49"/>
      <c r="C14" s="50">
        <v>1</v>
      </c>
      <c r="D14" s="51"/>
      <c r="E14" s="52"/>
      <c r="F14" s="53"/>
      <c r="G14" s="51"/>
      <c r="H14" s="53"/>
      <c r="I14" s="54">
        <v>70</v>
      </c>
      <c r="J14" s="53">
        <v>200</v>
      </c>
      <c r="K14" s="54"/>
      <c r="L14" s="55">
        <v>500</v>
      </c>
      <c r="M14" s="43"/>
      <c r="N14" s="44">
        <v>0</v>
      </c>
      <c r="O14" s="45"/>
      <c r="P14" s="57">
        <v>200</v>
      </c>
      <c r="Q14" s="47">
        <v>24</v>
      </c>
    </row>
    <row r="15" spans="1:17" s="48" customFormat="1" ht="16.5" customHeight="1" x14ac:dyDescent="0.15">
      <c r="A15" s="35"/>
      <c r="B15" s="49"/>
      <c r="C15" s="50">
        <v>2</v>
      </c>
      <c r="D15" s="51"/>
      <c r="E15" s="52"/>
      <c r="F15" s="53"/>
      <c r="G15" s="51"/>
      <c r="H15" s="53"/>
      <c r="I15" s="54">
        <v>70</v>
      </c>
      <c r="J15" s="53">
        <v>200</v>
      </c>
      <c r="K15" s="54"/>
      <c r="L15" s="55">
        <v>500</v>
      </c>
      <c r="M15" s="43"/>
      <c r="N15" s="44">
        <v>0</v>
      </c>
      <c r="O15" s="45"/>
      <c r="P15" s="57">
        <v>200</v>
      </c>
      <c r="Q15" s="47">
        <v>26</v>
      </c>
    </row>
    <row r="16" spans="1:17" s="48" customFormat="1" ht="16.5" customHeight="1" x14ac:dyDescent="0.15">
      <c r="A16" s="35"/>
      <c r="B16" s="49"/>
      <c r="C16" s="50">
        <v>3</v>
      </c>
      <c r="D16" s="51"/>
      <c r="E16" s="52"/>
      <c r="F16" s="53">
        <v>3000</v>
      </c>
      <c r="G16" s="51"/>
      <c r="H16" s="53">
        <v>3000</v>
      </c>
      <c r="I16" s="54">
        <v>70</v>
      </c>
      <c r="J16" s="53">
        <v>200</v>
      </c>
      <c r="K16" s="54"/>
      <c r="L16" s="55">
        <v>500</v>
      </c>
      <c r="M16" s="43"/>
      <c r="N16" s="44">
        <v>0</v>
      </c>
      <c r="O16" s="45"/>
      <c r="P16" s="57">
        <v>200</v>
      </c>
      <c r="Q16" s="47">
        <v>28</v>
      </c>
    </row>
    <row r="17" spans="1:17" s="48" customFormat="1" ht="21" customHeight="1" x14ac:dyDescent="0.15">
      <c r="A17" s="35"/>
      <c r="B17" s="76"/>
      <c r="C17" s="60" t="s">
        <v>13</v>
      </c>
      <c r="D17" s="77"/>
      <c r="E17" s="77"/>
      <c r="F17" s="64">
        <f>SUM(F11:F16)</f>
        <v>3000</v>
      </c>
      <c r="G17" s="78"/>
      <c r="H17" s="64">
        <f>SUM(H11:H16)</f>
        <v>3000</v>
      </c>
      <c r="I17" s="64">
        <f>SUM(I11:I16)</f>
        <v>420</v>
      </c>
      <c r="J17" s="64">
        <f>SUM(J11:J16)</f>
        <v>1200</v>
      </c>
      <c r="K17" s="64">
        <f>SUM(K11:K16)</f>
        <v>0</v>
      </c>
      <c r="L17" s="79">
        <f>SUM(L11,L12,L13,L14,L15,L16)</f>
        <v>3000</v>
      </c>
      <c r="M17" s="73"/>
      <c r="N17" s="73">
        <f>SUM(N11:N16)</f>
        <v>0</v>
      </c>
      <c r="O17" s="45"/>
      <c r="P17" s="80">
        <f>SUM(P11,P12,P13,P14,P15,P16)</f>
        <v>1200</v>
      </c>
      <c r="Q17" s="47">
        <v>30</v>
      </c>
    </row>
    <row r="18" spans="1:17" s="81" customFormat="1" ht="18" customHeight="1" x14ac:dyDescent="0.15">
      <c r="B18" s="82" t="s">
        <v>14</v>
      </c>
      <c r="C18" s="83"/>
      <c r="D18" s="84"/>
      <c r="E18" s="84"/>
      <c r="F18" s="85">
        <f>F10+F17</f>
        <v>3040</v>
      </c>
      <c r="G18" s="86"/>
      <c r="H18" s="85">
        <f>H10+H17</f>
        <v>4800</v>
      </c>
      <c r="I18" s="87">
        <f>I10+I17</f>
        <v>1520</v>
      </c>
      <c r="J18" s="87">
        <f>J10+J17</f>
        <v>2400</v>
      </c>
      <c r="K18" s="87">
        <f>K10+K17</f>
        <v>0</v>
      </c>
      <c r="L18" s="88">
        <f>L10+L17</f>
        <v>4800</v>
      </c>
      <c r="M18" s="89"/>
      <c r="N18" s="89">
        <f>N10+N17</f>
        <v>0</v>
      </c>
      <c r="O18" s="90"/>
      <c r="P18" s="91">
        <f>SUM(P10,P17)</f>
        <v>1800</v>
      </c>
      <c r="Q18" s="92">
        <v>32</v>
      </c>
    </row>
    <row r="19" spans="1:17" s="104" customFormat="1" x14ac:dyDescent="0.15">
      <c r="A19" s="93"/>
      <c r="B19" s="94"/>
      <c r="C19" s="95"/>
      <c r="D19" s="96"/>
      <c r="E19" s="96"/>
      <c r="F19" s="97"/>
      <c r="G19" s="98"/>
      <c r="H19" s="97"/>
      <c r="I19" s="99"/>
      <c r="J19" s="97"/>
      <c r="K19" s="97"/>
      <c r="L19" s="100"/>
      <c r="M19" s="97"/>
      <c r="N19" s="101" t="s">
        <v>15</v>
      </c>
      <c r="O19" s="102"/>
      <c r="P19" s="103"/>
    </row>
    <row r="20" spans="1:17" s="105" customFormat="1" ht="15" customHeight="1" x14ac:dyDescent="0.15">
      <c r="B20" s="106" t="s">
        <v>16</v>
      </c>
      <c r="C20" s="107"/>
      <c r="D20" s="107"/>
      <c r="E20" s="108"/>
      <c r="F20" s="109"/>
      <c r="G20" s="108"/>
      <c r="H20" s="110"/>
      <c r="J20" s="111"/>
      <c r="K20" s="112"/>
      <c r="L20" s="112"/>
      <c r="M20" s="113"/>
      <c r="N20" s="113"/>
      <c r="O20" s="112"/>
      <c r="P20" s="114"/>
    </row>
    <row r="21" spans="1:17" s="121" customFormat="1" ht="26.25" customHeight="1" x14ac:dyDescent="0.15">
      <c r="A21" s="115"/>
      <c r="B21" s="116" t="s">
        <v>8</v>
      </c>
      <c r="C21" s="117" t="s">
        <v>9</v>
      </c>
      <c r="D21" s="1" t="s">
        <v>17</v>
      </c>
      <c r="E21" s="149" t="s">
        <v>18</v>
      </c>
      <c r="F21" s="149"/>
      <c r="G21" s="118" t="s">
        <v>19</v>
      </c>
      <c r="H21" s="119"/>
      <c r="I21" s="120"/>
      <c r="K21" s="122"/>
      <c r="L21" s="123"/>
      <c r="M21" s="123"/>
      <c r="N21" s="123" t="s">
        <v>20</v>
      </c>
      <c r="O21" s="124"/>
    </row>
    <row r="22" spans="1:17" ht="15.75" customHeight="1" x14ac:dyDescent="0.15">
      <c r="A22" s="125"/>
      <c r="B22" s="126">
        <v>2025</v>
      </c>
      <c r="C22" s="127">
        <v>4</v>
      </c>
      <c r="D22" s="128" t="s">
        <v>21</v>
      </c>
      <c r="E22" s="146" t="s">
        <v>22</v>
      </c>
      <c r="F22" s="146"/>
      <c r="G22" s="129">
        <v>500</v>
      </c>
      <c r="H22" s="101"/>
      <c r="I22" s="130"/>
      <c r="J22" s="131"/>
      <c r="K22" s="101"/>
      <c r="L22" s="132"/>
      <c r="M22" s="132"/>
      <c r="N22" s="132"/>
      <c r="O22" s="124"/>
    </row>
    <row r="23" spans="1:17" ht="15.75" customHeight="1" x14ac:dyDescent="0.15">
      <c r="A23" s="125"/>
      <c r="B23" s="126">
        <v>2025</v>
      </c>
      <c r="C23" s="127">
        <v>5</v>
      </c>
      <c r="D23" s="128" t="s">
        <v>23</v>
      </c>
      <c r="E23" s="146" t="s">
        <v>22</v>
      </c>
      <c r="F23" s="146"/>
      <c r="G23" s="129">
        <v>400</v>
      </c>
      <c r="H23" s="101"/>
      <c r="I23" s="130"/>
      <c r="J23" s="131"/>
      <c r="K23" s="101"/>
      <c r="L23" s="132"/>
      <c r="M23" s="132"/>
      <c r="N23" s="132"/>
      <c r="O23" s="124"/>
    </row>
    <row r="24" spans="1:17" ht="15.75" customHeight="1" x14ac:dyDescent="0.15">
      <c r="A24" s="125"/>
      <c r="B24" s="126">
        <v>2025</v>
      </c>
      <c r="C24" s="127">
        <v>6</v>
      </c>
      <c r="D24" s="128" t="s">
        <v>24</v>
      </c>
      <c r="E24" s="146" t="s">
        <v>22</v>
      </c>
      <c r="F24" s="146"/>
      <c r="G24" s="129">
        <v>600</v>
      </c>
      <c r="H24" s="101"/>
      <c r="I24" s="130"/>
      <c r="J24" s="131"/>
      <c r="K24" s="101"/>
      <c r="L24" s="132"/>
      <c r="M24" s="132"/>
      <c r="N24" s="132"/>
      <c r="O24" s="124"/>
    </row>
    <row r="25" spans="1:17" ht="15.75" customHeight="1" x14ac:dyDescent="0.15">
      <c r="A25" s="125"/>
      <c r="B25" s="126">
        <v>2025</v>
      </c>
      <c r="C25" s="127">
        <v>7</v>
      </c>
      <c r="D25" s="128" t="s">
        <v>25</v>
      </c>
      <c r="E25" s="146" t="s">
        <v>22</v>
      </c>
      <c r="F25" s="146"/>
      <c r="G25" s="129">
        <v>700</v>
      </c>
      <c r="H25" s="101"/>
      <c r="I25" s="130"/>
      <c r="J25" s="131"/>
      <c r="K25" s="101"/>
      <c r="L25" s="132"/>
      <c r="M25" s="132"/>
      <c r="N25" s="132"/>
      <c r="O25" s="124"/>
    </row>
    <row r="26" spans="1:17" ht="15.75" customHeight="1" x14ac:dyDescent="0.15">
      <c r="A26" s="125"/>
      <c r="B26" s="126">
        <v>2025</v>
      </c>
      <c r="C26" s="127">
        <v>8</v>
      </c>
      <c r="D26" s="128" t="s">
        <v>26</v>
      </c>
      <c r="E26" s="146" t="s">
        <v>22</v>
      </c>
      <c r="F26" s="146"/>
      <c r="G26" s="129">
        <v>3000</v>
      </c>
      <c r="H26" s="101"/>
      <c r="I26" s="130"/>
      <c r="J26" s="101"/>
      <c r="K26" s="101"/>
      <c r="L26" s="132"/>
      <c r="M26" s="132"/>
      <c r="N26" s="132"/>
      <c r="O26" s="124"/>
    </row>
    <row r="27" spans="1:17" ht="15.75" customHeight="1" x14ac:dyDescent="0.15">
      <c r="A27" s="125"/>
      <c r="B27" s="126">
        <v>2026</v>
      </c>
      <c r="C27" s="127">
        <v>1</v>
      </c>
      <c r="D27" s="128" t="s">
        <v>27</v>
      </c>
      <c r="E27" s="146" t="s">
        <v>22</v>
      </c>
      <c r="F27" s="146"/>
      <c r="G27" s="129">
        <v>200</v>
      </c>
      <c r="H27" s="101"/>
      <c r="I27" s="130"/>
      <c r="J27" s="101"/>
      <c r="K27" s="101"/>
      <c r="L27" s="132"/>
      <c r="M27" s="132"/>
      <c r="N27" s="132"/>
      <c r="O27" s="124"/>
    </row>
    <row r="28" spans="1:17" ht="15.75" customHeight="1" x14ac:dyDescent="0.15">
      <c r="A28" s="125"/>
      <c r="B28" s="126">
        <v>2026</v>
      </c>
      <c r="C28" s="127">
        <v>2</v>
      </c>
      <c r="D28" s="128" t="s">
        <v>28</v>
      </c>
      <c r="E28" s="146" t="s">
        <v>29</v>
      </c>
      <c r="F28" s="146"/>
      <c r="G28" s="129"/>
      <c r="H28" s="101"/>
      <c r="I28" s="130"/>
      <c r="J28" s="101"/>
      <c r="K28" s="101"/>
      <c r="L28" s="132"/>
      <c r="M28" s="132"/>
      <c r="N28" s="132"/>
      <c r="O28" s="124"/>
    </row>
    <row r="29" spans="1:17" ht="15.75" customHeight="1" x14ac:dyDescent="0.15">
      <c r="A29" s="125"/>
      <c r="B29" s="126">
        <v>2026</v>
      </c>
      <c r="C29" s="127">
        <v>3</v>
      </c>
      <c r="D29" s="128" t="s">
        <v>30</v>
      </c>
      <c r="E29" s="146" t="s">
        <v>29</v>
      </c>
      <c r="F29" s="146"/>
      <c r="G29" s="133"/>
      <c r="H29" s="101"/>
      <c r="I29" s="130"/>
      <c r="J29" s="101"/>
      <c r="K29" s="101"/>
      <c r="L29" s="132"/>
      <c r="M29" s="132"/>
      <c r="N29" s="132"/>
      <c r="O29" s="124"/>
    </row>
    <row r="30" spans="1:17" ht="15.75" hidden="1" customHeight="1" x14ac:dyDescent="0.15">
      <c r="A30" s="125"/>
      <c r="B30" s="134"/>
      <c r="C30" s="127"/>
      <c r="D30" s="135" t="s">
        <v>31</v>
      </c>
      <c r="E30" s="146"/>
      <c r="F30" s="146"/>
      <c r="G30" s="133"/>
      <c r="H30" s="101"/>
      <c r="I30" s="130"/>
      <c r="J30" s="101"/>
      <c r="K30" s="101"/>
      <c r="L30" s="132"/>
      <c r="M30" s="136"/>
      <c r="N30" s="136"/>
      <c r="O30" s="124"/>
    </row>
    <row r="31" spans="1:17" ht="15.75" hidden="1" customHeight="1" x14ac:dyDescent="0.15">
      <c r="A31" s="125"/>
      <c r="B31" s="134"/>
      <c r="C31" s="127"/>
      <c r="D31" s="135" t="s">
        <v>32</v>
      </c>
      <c r="E31" s="146"/>
      <c r="F31" s="146"/>
      <c r="G31" s="133"/>
      <c r="H31" s="101"/>
      <c r="I31" s="130"/>
      <c r="J31" s="101"/>
      <c r="K31" s="101"/>
      <c r="L31" s="132"/>
      <c r="O31" s="124"/>
    </row>
    <row r="32" spans="1:17" ht="15.75" hidden="1" customHeight="1" x14ac:dyDescent="0.15">
      <c r="A32" s="125"/>
      <c r="B32" s="134"/>
      <c r="C32" s="127"/>
      <c r="D32" s="135" t="s">
        <v>33</v>
      </c>
      <c r="E32" s="146"/>
      <c r="F32" s="146"/>
      <c r="G32" s="133"/>
      <c r="H32" s="101"/>
      <c r="I32" s="130"/>
      <c r="J32" s="101"/>
      <c r="K32" s="101"/>
      <c r="L32" s="132"/>
      <c r="M32" s="137"/>
      <c r="N32" s="137"/>
      <c r="O32" s="124"/>
    </row>
    <row r="33" spans="1:15" ht="15.75" hidden="1" customHeight="1" x14ac:dyDescent="0.15">
      <c r="A33" s="125"/>
      <c r="B33" s="134"/>
      <c r="C33" s="127"/>
      <c r="D33" s="135" t="s">
        <v>34</v>
      </c>
      <c r="E33" s="146"/>
      <c r="F33" s="146"/>
      <c r="G33" s="133"/>
      <c r="H33" s="101"/>
      <c r="I33" s="130"/>
      <c r="J33" s="101"/>
      <c r="K33" s="101"/>
      <c r="L33" s="132"/>
      <c r="M33" s="138"/>
      <c r="N33" s="138"/>
      <c r="O33" s="124"/>
    </row>
    <row r="34" spans="1:15" ht="15.75" customHeight="1" x14ac:dyDescent="0.15">
      <c r="A34" s="125"/>
      <c r="B34" s="139"/>
      <c r="C34" s="140"/>
      <c r="D34" s="141"/>
      <c r="E34" s="147"/>
      <c r="F34" s="147"/>
      <c r="G34" s="142"/>
      <c r="H34" s="101"/>
      <c r="I34" s="130"/>
      <c r="J34" s="101"/>
      <c r="K34" s="101"/>
      <c r="L34" s="132"/>
      <c r="M34" s="138"/>
      <c r="N34" s="138"/>
      <c r="O34" s="124"/>
    </row>
  </sheetData>
  <mergeCells count="15">
    <mergeCell ref="K1:L1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</mergeCells>
  <phoneticPr fontId="36"/>
  <dataValidations count="3">
    <dataValidation type="list" showInputMessage="1" showErrorMessage="1" sqref="E4:E9 E11:E16 M30:N30" xr:uid="{00000000-0002-0000-0200-000000000000}">
      <formula1>#REF!</formula1>
      <formula2>0</formula2>
    </dataValidation>
    <dataValidation type="list" allowBlank="1" showInputMessage="1" showErrorMessage="1" sqref="E22:F34" xr:uid="{00000000-0002-0000-0200-000001000000}">
      <formula1>"取得,除却,　　"</formula1>
      <formula2>0</formula2>
    </dataValidation>
    <dataValidation type="list" showInputMessage="1" showErrorMessage="1" sqref="L22:N29 L30:L34" xr:uid="{00000000-0002-0000-0200-000002000000}">
      <formula1>"期中取得,起業,　　"</formula1>
      <formula2>0</formula2>
    </dataValidation>
  </dataValidations>
  <pageMargins left="0.118055555555556" right="0" top="0.39374999999999999" bottom="0" header="0.511811023622047" footer="0.511811023622047"/>
  <pageSetup paperSize="9" orientation="portrait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グループA</vt:lpstr>
      <vt:lpstr>グループB</vt:lpstr>
      <vt:lpstr>グループC</vt:lpstr>
      <vt:lpstr>グループA!Print_Area</vt:lpstr>
      <vt:lpstr>グループB!Print_Area</vt:lpstr>
      <vt:lpstr>グループC!Print_Area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管理Gr</dc:creator>
  <dc:description/>
  <cp:lastModifiedBy>眞司 河本</cp:lastModifiedBy>
  <cp:revision>1</cp:revision>
  <cp:lastPrinted>2025-11-24T00:39:32Z</cp:lastPrinted>
  <dcterms:created xsi:type="dcterms:W3CDTF">2009-01-14T04:30:06Z</dcterms:created>
  <dcterms:modified xsi:type="dcterms:W3CDTF">2026-02-22T09:26:12Z</dcterms:modified>
  <dc:language>ja-JP</dc:language>
</cp:coreProperties>
</file>