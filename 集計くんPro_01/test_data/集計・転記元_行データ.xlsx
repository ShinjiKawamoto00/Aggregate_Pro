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CC\Aggregate\Script_01\集計くんPro\test_data\"/>
    </mc:Choice>
  </mc:AlternateContent>
  <xr:revisionPtr revIDLastSave="0" documentId="13_ncr:1_{10756769-1F00-4ED6-8D05-17602909BB52}" xr6:coauthVersionLast="47" xr6:coauthVersionMax="47" xr10:uidLastSave="{00000000-0000-0000-0000-000000000000}"/>
  <bookViews>
    <workbookView xWindow="2940" yWindow="255" windowWidth="21600" windowHeight="15000" tabRatio="561" activeTab="1" xr2:uid="{00000000-000D-0000-FFFF-FFFF00000000}"/>
  </bookViews>
  <sheets>
    <sheet name="グループA" sheetId="62" r:id="rId1"/>
    <sheet name="グループB" sheetId="66" r:id="rId2"/>
  </sheets>
  <definedNames>
    <definedName name="_xlnm._FilterDatabase" localSheetId="0" hidden="1">グループA!#REF!</definedName>
    <definedName name="_xlnm._FilterDatabase" localSheetId="1" hidden="1">グループB!#REF!</definedName>
    <definedName name="_xlnm.Print_Area" localSheetId="0">グループA!$A$1:$P$34</definedName>
    <definedName name="_xlnm.Print_Area" localSheetId="1">グループB!$A$1:$P$34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62" l="1"/>
  <c r="K18" i="62" s="1"/>
  <c r="K17" i="62"/>
  <c r="P17" i="66"/>
  <c r="N17" i="66"/>
  <c r="K17" i="66"/>
  <c r="J17" i="66"/>
  <c r="I17" i="66"/>
  <c r="H17" i="66"/>
  <c r="F17" i="66"/>
  <c r="L16" i="66"/>
  <c r="L15" i="66"/>
  <c r="L14" i="66"/>
  <c r="L13" i="66"/>
  <c r="L12" i="66"/>
  <c r="L11" i="66"/>
  <c r="P10" i="66"/>
  <c r="P18" i="66" s="1"/>
  <c r="N10" i="66"/>
  <c r="K10" i="66"/>
  <c r="K18" i="66" s="1"/>
  <c r="J10" i="66"/>
  <c r="J18" i="66" s="1"/>
  <c r="I10" i="66"/>
  <c r="H10" i="66"/>
  <c r="F10" i="66"/>
  <c r="L9" i="66"/>
  <c r="L8" i="66"/>
  <c r="L7" i="66"/>
  <c r="L6" i="66"/>
  <c r="L5" i="66"/>
  <c r="L10" i="66" s="1"/>
  <c r="L4" i="66"/>
  <c r="N18" i="66" l="1"/>
  <c r="H18" i="66"/>
  <c r="I18" i="66"/>
  <c r="L17" i="66"/>
  <c r="L18" i="66" s="1"/>
  <c r="F18" i="66"/>
  <c r="L4" i="62" l="1"/>
  <c r="L16" i="62" l="1"/>
  <c r="L9" i="62"/>
  <c r="L8" i="62"/>
  <c r="L7" i="62"/>
  <c r="L6" i="62"/>
  <c r="L5" i="62"/>
  <c r="J17" i="62"/>
  <c r="F17" i="62" l="1"/>
  <c r="F10" i="62"/>
  <c r="N17" i="62"/>
  <c r="N10" i="62"/>
  <c r="I17" i="62"/>
  <c r="H17" i="62"/>
  <c r="J10" i="62"/>
  <c r="I10" i="62"/>
  <c r="H10" i="62"/>
  <c r="N18" i="62" l="1"/>
  <c r="H18" i="62"/>
  <c r="F18" i="62"/>
  <c r="J18" i="62"/>
  <c r="I18" i="62"/>
  <c r="P17" i="62"/>
  <c r="L15" i="62"/>
  <c r="L14" i="62"/>
  <c r="L13" i="62"/>
  <c r="L12" i="62"/>
  <c r="L11" i="62"/>
  <c r="P10" i="62"/>
  <c r="L10" i="62" l="1"/>
  <c r="P18" i="62"/>
  <c r="L17" i="62"/>
  <c r="L18" i="6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ユーザー</author>
  </authors>
  <commentList>
    <comment ref="H21" authorId="0" shapeId="0" xr:uid="{820B9EBE-2D63-4A27-919C-6920857A5E67}">
      <text>
        <r>
          <rPr>
            <sz val="9"/>
            <color indexed="10"/>
            <rFont val="ＭＳ Ｐゴシック"/>
            <family val="3"/>
            <charset val="128"/>
          </rPr>
          <t>除却のみ記入</t>
        </r>
      </text>
    </comment>
    <comment ref="K21" authorId="0" shapeId="0" xr:uid="{7E3430FF-DBF1-47EC-80F6-D2E79550A712}">
      <text>
        <r>
          <rPr>
            <sz val="9"/>
            <color indexed="10"/>
            <rFont val="ＭＳ Ｐゴシック"/>
            <family val="3"/>
            <charset val="128"/>
          </rPr>
          <t>除却のみ記入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ユーザー</author>
  </authors>
  <commentList>
    <comment ref="H21" authorId="0" shapeId="0" xr:uid="{F962D73F-C37D-4D2A-B484-74DF14A50644}">
      <text>
        <r>
          <rPr>
            <sz val="9"/>
            <color indexed="10"/>
            <rFont val="ＭＳ Ｐゴシック"/>
            <family val="3"/>
            <charset val="128"/>
          </rPr>
          <t>除却のみ記入</t>
        </r>
      </text>
    </comment>
    <comment ref="K21" authorId="0" shapeId="0" xr:uid="{0F05E7AC-A89E-4209-991D-EF632593F620}">
      <text>
        <r>
          <rPr>
            <sz val="9"/>
            <color indexed="10"/>
            <rFont val="ＭＳ Ｐゴシック"/>
            <family val="3"/>
            <charset val="128"/>
          </rPr>
          <t>除却のみ記入</t>
        </r>
      </text>
    </comment>
  </commentList>
</comments>
</file>

<file path=xl/sharedStrings.xml><?xml version="1.0" encoding="utf-8"?>
<sst xmlns="http://schemas.openxmlformats.org/spreadsheetml/2006/main" count="96" uniqueCount="49">
  <si>
    <t>←企画管理Gr.への提出日を入力してください</t>
    <rPh sb="1" eb="3">
      <t>キカク</t>
    </rPh>
    <rPh sb="3" eb="5">
      <t>カンリ</t>
    </rPh>
    <rPh sb="14" eb="17">
      <t>テイシュツビ</t>
    </rPh>
    <rPh sb="18" eb="20">
      <t>ニュウリョク</t>
    </rPh>
    <phoneticPr fontId="29"/>
  </si>
  <si>
    <t>（単位：千円）</t>
    <rPh sb="1" eb="3">
      <t>タンイ</t>
    </rPh>
    <rPh sb="4" eb="6">
      <t>センエン</t>
    </rPh>
    <phoneticPr fontId="1"/>
  </si>
  <si>
    <t>年度</t>
    <rPh sb="0" eb="2">
      <t>ネンド</t>
    </rPh>
    <phoneticPr fontId="1"/>
  </si>
  <si>
    <t>月</t>
    <rPh sb="0" eb="1">
      <t>ツキ</t>
    </rPh>
    <phoneticPr fontId="3"/>
  </si>
  <si>
    <t>月別 計</t>
    <rPh sb="0" eb="2">
      <t>ツキベツ</t>
    </rPh>
    <rPh sb="3" eb="4">
      <t>ケイ</t>
    </rPh>
    <phoneticPr fontId="3"/>
  </si>
  <si>
    <t>期中取得 計</t>
    <rPh sb="0" eb="4">
      <t>キチュウシュトク</t>
    </rPh>
    <rPh sb="5" eb="6">
      <t>ケイ</t>
    </rPh>
    <phoneticPr fontId="3"/>
  </si>
  <si>
    <t>　　上期 計</t>
    <phoneticPr fontId="1"/>
  </si>
  <si>
    <t>　　下期 計</t>
    <rPh sb="2" eb="4">
      <t>シモキ</t>
    </rPh>
    <phoneticPr fontId="1"/>
  </si>
  <si>
    <t>材修期中</t>
    <rPh sb="0" eb="1">
      <t>ザイ</t>
    </rPh>
    <rPh sb="1" eb="2">
      <t>オサム</t>
    </rPh>
    <rPh sb="2" eb="4">
      <t>キチュウ</t>
    </rPh>
    <rPh sb="3" eb="4">
      <t>コウキ</t>
    </rPh>
    <phoneticPr fontId="1"/>
  </si>
  <si>
    <t>資産名称</t>
    <phoneticPr fontId="1"/>
  </si>
  <si>
    <t>取得／除却</t>
    <rPh sb="0" eb="2">
      <t>シュトク</t>
    </rPh>
    <phoneticPr fontId="1"/>
  </si>
  <si>
    <r>
      <t>取得価格　</t>
    </r>
    <r>
      <rPr>
        <sz val="9"/>
        <rFont val="ＭＳ Ｐゴシック"/>
        <family val="3"/>
        <charset val="128"/>
      </rPr>
      <t>（千円）</t>
    </r>
    <rPh sb="0" eb="2">
      <t>シュトク</t>
    </rPh>
    <rPh sb="2" eb="4">
      <t>カカク</t>
    </rPh>
    <rPh sb="6" eb="8">
      <t>センエン</t>
    </rPh>
    <phoneticPr fontId="1"/>
  </si>
  <si>
    <t>起業／期中</t>
    <rPh sb="0" eb="2">
      <t>キギョウ</t>
    </rPh>
    <rPh sb="3" eb="5">
      <t>キチュウ</t>
    </rPh>
    <phoneticPr fontId="1"/>
  </si>
  <si>
    <t>取得</t>
  </si>
  <si>
    <t>2026年度　予算</t>
    <rPh sb="4" eb="6">
      <t>ネンド</t>
    </rPh>
    <rPh sb="7" eb="9">
      <t>ヨサン</t>
    </rPh>
    <phoneticPr fontId="1"/>
  </si>
  <si>
    <t>作成日</t>
    <rPh sb="0" eb="2">
      <t>サクセイ</t>
    </rPh>
    <rPh sb="2" eb="3">
      <t>ビ</t>
    </rPh>
    <phoneticPr fontId="1"/>
  </si>
  <si>
    <t>研究開発費</t>
    <rPh sb="0" eb="2">
      <t>ケンキュウ</t>
    </rPh>
    <rPh sb="2" eb="5">
      <t>カイハツヒ</t>
    </rPh>
    <phoneticPr fontId="1"/>
  </si>
  <si>
    <t>固定資産</t>
    <rPh sb="0" eb="4">
      <t>コテイシサン</t>
    </rPh>
    <phoneticPr fontId="1"/>
  </si>
  <si>
    <t>除却</t>
    <rPh sb="0" eb="2">
      <t>ジョキャク</t>
    </rPh>
    <phoneticPr fontId="1"/>
  </si>
  <si>
    <t>経費A</t>
    <rPh sb="0" eb="2">
      <t>ケイヒ</t>
    </rPh>
    <phoneticPr fontId="1"/>
  </si>
  <si>
    <t>経費B</t>
    <rPh sb="0" eb="2">
      <t>ケイヒ</t>
    </rPh>
    <phoneticPr fontId="1"/>
  </si>
  <si>
    <t>2026年度 年間 合計</t>
    <phoneticPr fontId="1"/>
  </si>
  <si>
    <t>経費A</t>
    <phoneticPr fontId="1"/>
  </si>
  <si>
    <t>経費B</t>
    <phoneticPr fontId="1"/>
  </si>
  <si>
    <t>妨害列</t>
    <phoneticPr fontId="1"/>
  </si>
  <si>
    <t>設備_取得9_グループB</t>
    <rPh sb="0" eb="2">
      <t>セツビ</t>
    </rPh>
    <rPh sb="3" eb="5">
      <t>シュトク</t>
    </rPh>
    <phoneticPr fontId="1"/>
  </si>
  <si>
    <t>設備_取得10_グループB</t>
    <rPh sb="0" eb="2">
      <t>セツビ</t>
    </rPh>
    <rPh sb="3" eb="5">
      <t>シュトク</t>
    </rPh>
    <phoneticPr fontId="1"/>
  </si>
  <si>
    <t>設備_取得11_グループB</t>
    <rPh sb="0" eb="2">
      <t>セツビ</t>
    </rPh>
    <rPh sb="3" eb="5">
      <t>シュトク</t>
    </rPh>
    <phoneticPr fontId="1"/>
  </si>
  <si>
    <t>設備_取得12_グループB</t>
    <rPh sb="0" eb="2">
      <t>セツビ</t>
    </rPh>
    <rPh sb="3" eb="5">
      <t>シュトク</t>
    </rPh>
    <phoneticPr fontId="1"/>
  </si>
  <si>
    <t>設備1_グループB</t>
    <rPh sb="0" eb="2">
      <t>セツビ</t>
    </rPh>
    <phoneticPr fontId="1"/>
  </si>
  <si>
    <t>設備2_グループB</t>
    <rPh sb="0" eb="2">
      <t>セツビ</t>
    </rPh>
    <phoneticPr fontId="1"/>
  </si>
  <si>
    <t>設備3_グループB</t>
    <rPh sb="0" eb="2">
      <t>セツビ</t>
    </rPh>
    <phoneticPr fontId="1"/>
  </si>
  <si>
    <t>設備4_グループB</t>
    <rPh sb="0" eb="2">
      <t>セツビ</t>
    </rPh>
    <phoneticPr fontId="1"/>
  </si>
  <si>
    <t>設備5_グループB</t>
    <rPh sb="0" eb="2">
      <t>セツビ</t>
    </rPh>
    <phoneticPr fontId="1"/>
  </si>
  <si>
    <t>設備6_グループB</t>
    <rPh sb="0" eb="2">
      <t>セツビ</t>
    </rPh>
    <phoneticPr fontId="1"/>
  </si>
  <si>
    <t>設備7_グループB</t>
    <rPh sb="0" eb="2">
      <t>セツビ</t>
    </rPh>
    <phoneticPr fontId="1"/>
  </si>
  <si>
    <t>設備8_グループB</t>
    <rPh sb="0" eb="2">
      <t>セツビ</t>
    </rPh>
    <phoneticPr fontId="1"/>
  </si>
  <si>
    <t>設備1_グループA</t>
    <rPh sb="0" eb="2">
      <t>セツビ</t>
    </rPh>
    <phoneticPr fontId="1"/>
  </si>
  <si>
    <t>設備2_グループA</t>
    <rPh sb="0" eb="2">
      <t>セツビ</t>
    </rPh>
    <phoneticPr fontId="1"/>
  </si>
  <si>
    <t>設備3_グループA</t>
    <rPh sb="0" eb="2">
      <t>セツビ</t>
    </rPh>
    <phoneticPr fontId="1"/>
  </si>
  <si>
    <t>設備4_グループA</t>
    <rPh sb="0" eb="2">
      <t>セツビ</t>
    </rPh>
    <phoneticPr fontId="1"/>
  </si>
  <si>
    <t>設備5_グループA</t>
    <rPh sb="0" eb="2">
      <t>セツビ</t>
    </rPh>
    <phoneticPr fontId="1"/>
  </si>
  <si>
    <t>設備6_グループA</t>
    <rPh sb="0" eb="2">
      <t>セツビ</t>
    </rPh>
    <phoneticPr fontId="1"/>
  </si>
  <si>
    <t>設備7_グループA</t>
    <rPh sb="0" eb="2">
      <t>セツビ</t>
    </rPh>
    <phoneticPr fontId="1"/>
  </si>
  <si>
    <t>設備8_グループA</t>
    <rPh sb="0" eb="2">
      <t>セツビ</t>
    </rPh>
    <phoneticPr fontId="1"/>
  </si>
  <si>
    <t>設備9_グループA</t>
    <rPh sb="0" eb="2">
      <t>セツビ</t>
    </rPh>
    <phoneticPr fontId="1"/>
  </si>
  <si>
    <t>設備10_グループA</t>
    <rPh sb="0" eb="2">
      <t>セツビ</t>
    </rPh>
    <phoneticPr fontId="1"/>
  </si>
  <si>
    <t>設備11_グループA</t>
    <rPh sb="0" eb="2">
      <t>セツビ</t>
    </rPh>
    <phoneticPr fontId="1"/>
  </si>
  <si>
    <t>設備12_グループA</t>
    <rPh sb="0" eb="2">
      <t>セツビ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</si>
</sst>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176" formatCode="#,##0_ "/>
    <numFmt numFmtId="177" formatCode="#,##0;&quot;△ &quot;#,##0"/>
    <numFmt numFmtId="178" formatCode="0_ "/>
    <numFmt numFmtId="179" formatCode="[$-F800]dddd\,\ mmmm\ dd\,\ yyyy"/>
    <numFmt numFmtId="180" formatCode="General\ &quot;千円&quot;"/>
  </numFmts>
  <fonts count="41" x14ac:knownFonts="1"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2"/>
      <color indexed="12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indexed="12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7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Meiryo UI"/>
      <family val="3"/>
      <charset val="128"/>
    </font>
    <font>
      <sz val="6"/>
      <name val="ＭＳ Ｐ明朝"/>
      <family val="1"/>
      <charset val="128"/>
    </font>
    <font>
      <b/>
      <sz val="14"/>
      <name val="ＭＳ Ｐゴシック"/>
      <family val="3"/>
      <charset val="128"/>
    </font>
    <font>
      <sz val="10"/>
      <name val="ＭＳ Ｐ明朝"/>
      <family val="1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ＭＳ Ｐ明朝"/>
      <family val="1"/>
      <charset val="128"/>
    </font>
    <font>
      <sz val="10"/>
      <color rgb="FFFF0000"/>
      <name val="ＭＳ Ｐ明朝"/>
      <family val="1"/>
      <charset val="128"/>
    </font>
    <font>
      <sz val="11"/>
      <name val="ＭＳ Ｐ明朝"/>
      <family val="1"/>
      <charset val="128"/>
    </font>
    <font>
      <b/>
      <sz val="9"/>
      <color indexed="12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2"/>
      <color theme="1"/>
      <name val="ＭＳ Ｐ明朝"/>
      <family val="1"/>
      <charset val="128"/>
    </font>
    <font>
      <b/>
      <sz val="12"/>
      <color theme="1"/>
      <name val="ＭＳ Ｐゴシック"/>
      <family val="3"/>
      <charset val="128"/>
    </font>
    <font>
      <b/>
      <sz val="12"/>
      <color theme="1"/>
      <name val="ＭＳ Ｐ明朝"/>
      <family val="1"/>
      <charset val="128"/>
    </font>
    <font>
      <b/>
      <sz val="14"/>
      <color rgb="FFFF0000"/>
      <name val="ＭＳ Ｐゴシック"/>
      <family val="3"/>
      <charset val="128"/>
    </font>
    <font>
      <b/>
      <sz val="14"/>
      <color rgb="FF0066FF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2" fillId="0" borderId="0"/>
    <xf numFmtId="38" fontId="5" fillId="0" borderId="0" applyFont="0" applyFill="0" applyBorder="0" applyAlignment="0" applyProtection="0">
      <alignment vertical="center"/>
    </xf>
  </cellStyleXfs>
  <cellXfs count="156">
    <xf numFmtId="0" fontId="0" fillId="0" borderId="0" xfId="0"/>
    <xf numFmtId="0" fontId="5" fillId="0" borderId="0" xfId="0" applyFont="1"/>
    <xf numFmtId="38" fontId="5" fillId="0" borderId="0" xfId="0" applyNumberFormat="1" applyFont="1"/>
    <xf numFmtId="0" fontId="6" fillId="0" borderId="0" xfId="0" applyFont="1"/>
    <xf numFmtId="38" fontId="7" fillId="0" borderId="0" xfId="0" applyNumberFormat="1" applyFont="1"/>
    <xf numFmtId="0" fontId="13" fillId="0" borderId="0" xfId="1" applyFont="1"/>
    <xf numFmtId="0" fontId="5" fillId="0" borderId="0" xfId="0" applyFont="1" applyAlignment="1">
      <alignment horizontal="center"/>
    </xf>
    <xf numFmtId="0" fontId="15" fillId="0" borderId="0" xfId="0" applyFont="1"/>
    <xf numFmtId="177" fontId="14" fillId="0" borderId="0" xfId="0" applyNumberFormat="1" applyFont="1" applyAlignment="1">
      <alignment horizontal="right"/>
    </xf>
    <xf numFmtId="0" fontId="18" fillId="0" borderId="0" xfId="0" applyFont="1"/>
    <xf numFmtId="0" fontId="15" fillId="0" borderId="0" xfId="0" applyFont="1" applyAlignment="1">
      <alignment horizontal="left"/>
    </xf>
    <xf numFmtId="177" fontId="14" fillId="0" borderId="0" xfId="0" applyNumberFormat="1" applyFont="1" applyAlignment="1">
      <alignment horizontal="center"/>
    </xf>
    <xf numFmtId="0" fontId="19" fillId="0" borderId="0" xfId="0" applyFont="1"/>
    <xf numFmtId="176" fontId="5" fillId="0" borderId="0" xfId="0" applyNumberFormat="1" applyFont="1"/>
    <xf numFmtId="0" fontId="15" fillId="0" borderId="0" xfId="0" applyFont="1" applyAlignment="1">
      <alignment horizontal="right" wrapText="1"/>
    </xf>
    <xf numFmtId="3" fontId="15" fillId="0" borderId="0" xfId="0" applyNumberFormat="1" applyFont="1" applyAlignment="1">
      <alignment horizontal="left"/>
    </xf>
    <xf numFmtId="180" fontId="28" fillId="0" borderId="0" xfId="0" applyNumberFormat="1" applyFont="1" applyAlignment="1">
      <alignment horizontal="center"/>
    </xf>
    <xf numFmtId="179" fontId="22" fillId="0" borderId="0" xfId="0" applyNumberFormat="1" applyFont="1" applyAlignment="1">
      <alignment horizontal="center" vertical="center"/>
    </xf>
    <xf numFmtId="0" fontId="25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0" fillId="0" borderId="0" xfId="0" applyFont="1" applyAlignment="1">
      <alignment horizontal="left"/>
    </xf>
    <xf numFmtId="0" fontId="14" fillId="0" borderId="0" xfId="0" applyFont="1" applyAlignment="1">
      <alignment horizontal="center" wrapText="1"/>
    </xf>
    <xf numFmtId="177" fontId="15" fillId="0" borderId="0" xfId="0" applyNumberFormat="1" applyFont="1" applyAlignment="1">
      <alignment horizontal="center"/>
    </xf>
    <xf numFmtId="0" fontId="33" fillId="0" borderId="0" xfId="1" applyFont="1" applyAlignment="1">
      <alignment horizontal="center"/>
    </xf>
    <xf numFmtId="38" fontId="1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176" fontId="18" fillId="0" borderId="0" xfId="0" applyNumberFormat="1" applyFont="1" applyAlignment="1">
      <alignment horizontal="center"/>
    </xf>
    <xf numFmtId="38" fontId="18" fillId="0" borderId="0" xfId="0" applyNumberFormat="1" applyFont="1" applyAlignment="1">
      <alignment horizontal="left"/>
    </xf>
    <xf numFmtId="178" fontId="14" fillId="0" borderId="0" xfId="0" applyNumberFormat="1" applyFont="1" applyAlignment="1">
      <alignment horizontal="center"/>
    </xf>
    <xf numFmtId="177" fontId="23" fillId="0" borderId="0" xfId="0" applyNumberFormat="1" applyFont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15" fillId="3" borderId="0" xfId="0" applyFont="1" applyFill="1"/>
    <xf numFmtId="0" fontId="9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10" fillId="3" borderId="0" xfId="0" applyFont="1" applyFill="1"/>
    <xf numFmtId="0" fontId="13" fillId="3" borderId="0" xfId="0" applyFont="1" applyFill="1"/>
    <xf numFmtId="0" fontId="18" fillId="3" borderId="0" xfId="0" applyFont="1" applyFill="1"/>
    <xf numFmtId="0" fontId="26" fillId="3" borderId="0" xfId="0" applyFont="1" applyFill="1"/>
    <xf numFmtId="0" fontId="5" fillId="4" borderId="0" xfId="0" applyFont="1" applyFill="1"/>
    <xf numFmtId="0" fontId="13" fillId="4" borderId="0" xfId="0" applyFont="1" applyFill="1"/>
    <xf numFmtId="38" fontId="8" fillId="4" borderId="0" xfId="0" applyNumberFormat="1" applyFont="1" applyFill="1"/>
    <xf numFmtId="38" fontId="5" fillId="4" borderId="0" xfId="0" applyNumberFormat="1" applyFont="1" applyFill="1"/>
    <xf numFmtId="0" fontId="10" fillId="4" borderId="0" xfId="0" applyFont="1" applyFill="1"/>
    <xf numFmtId="0" fontId="14" fillId="4" borderId="0" xfId="1" applyFont="1" applyFill="1" applyAlignment="1">
      <alignment horizontal="center"/>
    </xf>
    <xf numFmtId="0" fontId="13" fillId="4" borderId="0" xfId="1" applyFont="1" applyFill="1"/>
    <xf numFmtId="0" fontId="5" fillId="2" borderId="0" xfId="0" applyFont="1" applyFill="1"/>
    <xf numFmtId="0" fontId="10" fillId="2" borderId="0" xfId="0" applyFont="1" applyFill="1"/>
    <xf numFmtId="0" fontId="12" fillId="2" borderId="0" xfId="0" applyFont="1" applyFill="1"/>
    <xf numFmtId="0" fontId="20" fillId="2" borderId="0" xfId="0" applyFont="1" applyFill="1"/>
    <xf numFmtId="38" fontId="20" fillId="2" borderId="0" xfId="0" applyNumberFormat="1" applyFont="1" applyFill="1"/>
    <xf numFmtId="176" fontId="5" fillId="2" borderId="0" xfId="0" applyNumberFormat="1" applyFont="1" applyFill="1"/>
    <xf numFmtId="38" fontId="5" fillId="2" borderId="0" xfId="0" applyNumberFormat="1" applyFont="1" applyFill="1"/>
    <xf numFmtId="0" fontId="13" fillId="2" borderId="0" xfId="1" applyFont="1" applyFill="1"/>
    <xf numFmtId="177" fontId="32" fillId="2" borderId="0" xfId="1" applyNumberFormat="1" applyFont="1" applyFill="1" applyAlignment="1">
      <alignment vertical="top"/>
    </xf>
    <xf numFmtId="0" fontId="11" fillId="2" borderId="0" xfId="0" applyFont="1" applyFill="1"/>
    <xf numFmtId="0" fontId="10" fillId="0" borderId="3" xfId="0" applyFont="1" applyBorder="1" applyAlignment="1">
      <alignment horizontal="center" vertical="center"/>
    </xf>
    <xf numFmtId="176" fontId="9" fillId="4" borderId="0" xfId="0" applyNumberFormat="1" applyFont="1" applyFill="1"/>
    <xf numFmtId="179" fontId="9" fillId="0" borderId="3" xfId="0" applyNumberFormat="1" applyFont="1" applyBorder="1" applyAlignment="1">
      <alignment horizontal="center" vertical="center"/>
    </xf>
    <xf numFmtId="0" fontId="10" fillId="4" borderId="0" xfId="0" applyFont="1" applyFill="1" applyBorder="1"/>
    <xf numFmtId="0" fontId="12" fillId="4" borderId="0" xfId="0" applyFont="1" applyFill="1" applyBorder="1"/>
    <xf numFmtId="38" fontId="34" fillId="4" borderId="0" xfId="0" applyNumberFormat="1" applyFont="1" applyFill="1" applyBorder="1"/>
    <xf numFmtId="0" fontId="9" fillId="3" borderId="8" xfId="0" applyFont="1" applyFill="1" applyBorder="1" applyAlignment="1">
      <alignment vertical="center"/>
    </xf>
    <xf numFmtId="0" fontId="21" fillId="3" borderId="13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5" fillId="3" borderId="7" xfId="0" quotePrefix="1" applyFont="1" applyFill="1" applyBorder="1" applyAlignment="1">
      <alignment horizontal="right"/>
    </xf>
    <xf numFmtId="0" fontId="14" fillId="3" borderId="8" xfId="0" applyFont="1" applyFill="1" applyBorder="1" applyAlignment="1">
      <alignment horizontal="right"/>
    </xf>
    <xf numFmtId="0" fontId="16" fillId="0" borderId="8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177" fontId="15" fillId="0" borderId="9" xfId="0" applyNumberFormat="1" applyFont="1" applyBorder="1" applyAlignment="1">
      <alignment horizontal="center"/>
    </xf>
    <xf numFmtId="0" fontId="5" fillId="3" borderId="7" xfId="0" applyFont="1" applyFill="1" applyBorder="1" applyAlignment="1">
      <alignment horizontal="right"/>
    </xf>
    <xf numFmtId="177" fontId="14" fillId="0" borderId="9" xfId="0" applyNumberFormat="1" applyFont="1" applyBorder="1" applyAlignment="1">
      <alignment horizontal="center"/>
    </xf>
    <xf numFmtId="0" fontId="21" fillId="3" borderId="7" xfId="0" applyFont="1" applyFill="1" applyBorder="1" applyAlignment="1">
      <alignment horizontal="right"/>
    </xf>
    <xf numFmtId="0" fontId="21" fillId="3" borderId="10" xfId="0" applyFont="1" applyFill="1" applyBorder="1" applyAlignment="1">
      <alignment horizontal="right"/>
    </xf>
    <xf numFmtId="0" fontId="14" fillId="3" borderId="11" xfId="0" applyFont="1" applyFill="1" applyBorder="1" applyAlignment="1">
      <alignment horizontal="right"/>
    </xf>
    <xf numFmtId="0" fontId="14" fillId="0" borderId="11" xfId="0" applyFont="1" applyBorder="1" applyAlignment="1">
      <alignment horizontal="left" shrinkToFit="1"/>
    </xf>
    <xf numFmtId="0" fontId="5" fillId="0" borderId="11" xfId="0" applyFont="1" applyBorder="1" applyAlignment="1">
      <alignment horizontal="center"/>
    </xf>
    <xf numFmtId="177" fontId="14" fillId="0" borderId="12" xfId="0" applyNumberFormat="1" applyFont="1" applyBorder="1" applyAlignment="1">
      <alignment horizontal="center"/>
    </xf>
    <xf numFmtId="179" fontId="9" fillId="0" borderId="23" xfId="0" applyNumberFormat="1" applyFont="1" applyBorder="1" applyAlignment="1">
      <alignment horizontal="center" vertical="center"/>
    </xf>
    <xf numFmtId="179" fontId="9" fillId="0" borderId="24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wrapText="1"/>
    </xf>
    <xf numFmtId="0" fontId="18" fillId="3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5" fillId="3" borderId="0" xfId="0" applyFont="1" applyFill="1" applyAlignment="1">
      <alignment vertical="center"/>
    </xf>
    <xf numFmtId="41" fontId="35" fillId="0" borderId="1" xfId="0" applyNumberFormat="1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177" fontId="35" fillId="0" borderId="1" xfId="0" applyNumberFormat="1" applyFont="1" applyBorder="1" applyAlignment="1">
      <alignment horizontal="right" vertical="center"/>
    </xf>
    <xf numFmtId="177" fontId="36" fillId="0" borderId="1" xfId="0" applyNumberFormat="1" applyFont="1" applyBorder="1" applyAlignment="1">
      <alignment horizontal="right" vertical="center"/>
    </xf>
    <xf numFmtId="177" fontId="9" fillId="0" borderId="14" xfId="0" applyNumberFormat="1" applyFont="1" applyBorder="1" applyAlignment="1">
      <alignment horizontal="right" vertical="center" wrapText="1"/>
    </xf>
    <xf numFmtId="177" fontId="9" fillId="0" borderId="0" xfId="0" applyNumberFormat="1" applyFont="1" applyBorder="1" applyAlignment="1">
      <alignment horizontal="right" vertical="center" wrapText="1"/>
    </xf>
    <xf numFmtId="177" fontId="5" fillId="0" borderId="0" xfId="0" applyNumberFormat="1" applyFont="1" applyAlignment="1">
      <alignment horizontal="right" vertical="center" wrapText="1"/>
    </xf>
    <xf numFmtId="0" fontId="13" fillId="0" borderId="0" xfId="1" applyFont="1" applyAlignment="1">
      <alignment vertical="center"/>
    </xf>
    <xf numFmtId="177" fontId="9" fillId="0" borderId="19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7" fillId="3" borderId="7" xfId="0" applyFont="1" applyFill="1" applyBorder="1" applyAlignment="1">
      <alignment vertical="center"/>
    </xf>
    <xf numFmtId="41" fontId="35" fillId="0" borderId="8" xfId="0" applyNumberFormat="1" applyFont="1" applyBorder="1" applyAlignment="1">
      <alignment horizontal="left" vertical="center"/>
    </xf>
    <xf numFmtId="0" fontId="35" fillId="0" borderId="8" xfId="0" applyFont="1" applyBorder="1" applyAlignment="1">
      <alignment horizontal="center" vertical="center"/>
    </xf>
    <xf numFmtId="177" fontId="35" fillId="0" borderId="8" xfId="0" applyNumberFormat="1" applyFont="1" applyBorder="1" applyAlignment="1">
      <alignment horizontal="right" vertical="center"/>
    </xf>
    <xf numFmtId="177" fontId="36" fillId="0" borderId="8" xfId="0" applyNumberFormat="1" applyFont="1" applyBorder="1" applyAlignment="1">
      <alignment horizontal="right" vertical="center"/>
    </xf>
    <xf numFmtId="177" fontId="9" fillId="0" borderId="9" xfId="0" applyNumberFormat="1" applyFont="1" applyBorder="1" applyAlignment="1">
      <alignment horizontal="right" vertical="center" wrapText="1"/>
    </xf>
    <xf numFmtId="177" fontId="5" fillId="0" borderId="0" xfId="0" applyNumberFormat="1" applyFont="1" applyAlignment="1">
      <alignment horizontal="right" vertical="center"/>
    </xf>
    <xf numFmtId="177" fontId="9" fillId="0" borderId="18" xfId="0" applyNumberFormat="1" applyFont="1" applyBorder="1" applyAlignment="1">
      <alignment vertical="center"/>
    </xf>
    <xf numFmtId="177" fontId="24" fillId="0" borderId="0" xfId="2" applyNumberFormat="1" applyFont="1" applyFill="1" applyBorder="1" applyAlignment="1" applyProtection="1">
      <alignment horizontal="right" vertical="center"/>
      <protection locked="0"/>
    </xf>
    <xf numFmtId="0" fontId="17" fillId="3" borderId="20" xfId="0" applyFont="1" applyFill="1" applyBorder="1" applyAlignment="1">
      <alignment vertical="center"/>
    </xf>
    <xf numFmtId="41" fontId="35" fillId="0" borderId="2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center" vertical="center"/>
    </xf>
    <xf numFmtId="177" fontId="35" fillId="0" borderId="2" xfId="0" applyNumberFormat="1" applyFont="1" applyBorder="1" applyAlignment="1">
      <alignment horizontal="right" vertical="center"/>
    </xf>
    <xf numFmtId="177" fontId="36" fillId="0" borderId="2" xfId="0" applyNumberFormat="1" applyFont="1" applyBorder="1" applyAlignment="1">
      <alignment horizontal="right" vertical="center"/>
    </xf>
    <xf numFmtId="177" fontId="9" fillId="0" borderId="21" xfId="0" applyNumberFormat="1" applyFont="1" applyBorder="1" applyAlignment="1">
      <alignment horizontal="right" vertical="center" wrapText="1"/>
    </xf>
    <xf numFmtId="177" fontId="9" fillId="0" borderId="22" xfId="0" applyNumberFormat="1" applyFont="1" applyBorder="1" applyAlignment="1">
      <alignment vertical="center"/>
    </xf>
    <xf numFmtId="0" fontId="19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vertical="center"/>
    </xf>
    <xf numFmtId="0" fontId="37" fillId="0" borderId="16" xfId="0" applyFont="1" applyBorder="1" applyAlignment="1">
      <alignment vertical="center"/>
    </xf>
    <xf numFmtId="177" fontId="36" fillId="0" borderId="16" xfId="0" applyNumberFormat="1" applyFont="1" applyBorder="1" applyAlignment="1">
      <alignment horizontal="right" vertical="center"/>
    </xf>
    <xf numFmtId="0" fontId="36" fillId="0" borderId="16" xfId="0" applyFont="1" applyBorder="1" applyAlignment="1">
      <alignment horizontal="left" vertical="center"/>
    </xf>
    <xf numFmtId="177" fontId="9" fillId="0" borderId="17" xfId="0" applyNumberFormat="1" applyFont="1" applyBorder="1" applyAlignment="1">
      <alignment horizontal="right" vertical="center"/>
    </xf>
    <xf numFmtId="177" fontId="9" fillId="0" borderId="0" xfId="0" applyNumberFormat="1" applyFont="1" applyBorder="1" applyAlignment="1">
      <alignment horizontal="right" vertical="center"/>
    </xf>
    <xf numFmtId="177" fontId="9" fillId="0" borderId="0" xfId="0" applyNumberFormat="1" applyFont="1" applyAlignment="1">
      <alignment horizontal="right" vertical="center"/>
    </xf>
    <xf numFmtId="177" fontId="9" fillId="0" borderId="3" xfId="0" applyNumberFormat="1" applyFont="1" applyBorder="1" applyAlignment="1">
      <alignment horizontal="right" vertical="center"/>
    </xf>
    <xf numFmtId="0" fontId="17" fillId="3" borderId="13" xfId="0" applyFont="1" applyFill="1" applyBorder="1" applyAlignment="1">
      <alignment vertical="center"/>
    </xf>
    <xf numFmtId="0" fontId="19" fillId="3" borderId="20" xfId="0" applyFont="1" applyFill="1" applyBorder="1" applyAlignment="1">
      <alignment vertical="center"/>
    </xf>
    <xf numFmtId="0" fontId="37" fillId="0" borderId="2" xfId="0" applyFont="1" applyBorder="1" applyAlignment="1">
      <alignment vertical="center"/>
    </xf>
    <xf numFmtId="0" fontId="36" fillId="0" borderId="2" xfId="0" applyFont="1" applyBorder="1" applyAlignment="1">
      <alignment horizontal="left" vertical="center"/>
    </xf>
    <xf numFmtId="177" fontId="9" fillId="0" borderId="21" xfId="0" applyNumberFormat="1" applyFont="1" applyBorder="1" applyAlignment="1">
      <alignment horizontal="right" vertical="center"/>
    </xf>
    <xf numFmtId="177" fontId="9" fillId="0" borderId="22" xfId="0" applyNumberFormat="1" applyFont="1" applyBorder="1" applyAlignment="1">
      <alignment horizontal="right" vertical="center"/>
    </xf>
    <xf numFmtId="0" fontId="15" fillId="4" borderId="0" xfId="0" applyFont="1" applyFill="1" applyAlignment="1">
      <alignment vertical="center"/>
    </xf>
    <xf numFmtId="0" fontId="10" fillId="4" borderId="15" xfId="0" applyFont="1" applyFill="1" applyBorder="1" applyAlignment="1">
      <alignment vertical="center"/>
    </xf>
    <xf numFmtId="0" fontId="13" fillId="4" borderId="16" xfId="0" applyFont="1" applyFill="1" applyBorder="1" applyAlignment="1">
      <alignment vertical="center"/>
    </xf>
    <xf numFmtId="0" fontId="37" fillId="4" borderId="16" xfId="0" applyFont="1" applyFill="1" applyBorder="1" applyAlignment="1">
      <alignment vertical="center"/>
    </xf>
    <xf numFmtId="177" fontId="38" fillId="4" borderId="16" xfId="0" applyNumberFormat="1" applyFont="1" applyFill="1" applyBorder="1" applyAlignment="1">
      <alignment horizontal="right" vertical="center"/>
    </xf>
    <xf numFmtId="0" fontId="38" fillId="4" borderId="16" xfId="0" applyFont="1" applyFill="1" applyBorder="1" applyAlignment="1">
      <alignment horizontal="left" vertical="center"/>
    </xf>
    <xf numFmtId="177" fontId="36" fillId="4" borderId="16" xfId="0" applyNumberFormat="1" applyFont="1" applyFill="1" applyBorder="1" applyAlignment="1">
      <alignment horizontal="right" vertical="center"/>
    </xf>
    <xf numFmtId="177" fontId="10" fillId="4" borderId="17" xfId="0" applyNumberFormat="1" applyFont="1" applyFill="1" applyBorder="1" applyAlignment="1">
      <alignment horizontal="right" vertical="center"/>
    </xf>
    <xf numFmtId="177" fontId="10" fillId="4" borderId="0" xfId="0" applyNumberFormat="1" applyFont="1" applyFill="1" applyBorder="1" applyAlignment="1">
      <alignment horizontal="right" vertical="center"/>
    </xf>
    <xf numFmtId="177" fontId="10" fillId="4" borderId="0" xfId="0" applyNumberFormat="1" applyFont="1" applyFill="1" applyAlignment="1">
      <alignment horizontal="right" vertical="center"/>
    </xf>
    <xf numFmtId="0" fontId="13" fillId="4" borderId="0" xfId="1" applyFont="1" applyFill="1" applyAlignment="1">
      <alignment vertical="center"/>
    </xf>
    <xf numFmtId="177" fontId="9" fillId="4" borderId="3" xfId="0" applyNumberFormat="1" applyFont="1" applyFill="1" applyBorder="1" applyAlignment="1">
      <alignment horizontal="right" vertical="center"/>
    </xf>
    <xf numFmtId="0" fontId="5" fillId="4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178" fontId="40" fillId="0" borderId="0" xfId="0" applyNumberFormat="1" applyFont="1" applyAlignment="1">
      <alignment horizontal="left" vertical="center"/>
    </xf>
    <xf numFmtId="0" fontId="37" fillId="4" borderId="0" xfId="0" applyFont="1" applyFill="1" applyAlignment="1">
      <alignment horizontal="left" vertical="center"/>
    </xf>
    <xf numFmtId="0" fontId="14" fillId="0" borderId="8" xfId="0" applyFont="1" applyBorder="1" applyAlignment="1">
      <alignment horizontal="left"/>
    </xf>
  </cellXfs>
  <cellStyles count="3">
    <cellStyle name="桁区切り 2" xfId="2" xr:uid="{67F4C76D-B91C-437E-8460-0BB4AA36ABA7}"/>
    <cellStyle name="標準" xfId="0" builtinId="0"/>
    <cellStyle name="標準_加古川" xfId="1" xr:uid="{00000000-0005-0000-0000-000001000000}"/>
  </cellStyles>
  <dxfs count="0"/>
  <tableStyles count="0" defaultTableStyle="TableStyleMedium2" defaultPivotStyle="PivotStyleLight16"/>
  <colors>
    <mruColors>
      <color rgb="FF0066FF"/>
      <color rgb="FFCCFFCC"/>
      <color rgb="FFFFCCCC"/>
      <color rgb="FF0000FF"/>
      <color rgb="FFCCFFFF"/>
      <color rgb="FFFFE5FF"/>
      <color rgb="FF00FFFF"/>
      <color rgb="FF66FFFF"/>
      <color rgb="FF00990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857250</xdr:colOff>
      <xdr:row>11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A9BD9BC-D908-46DE-9E1E-4E5DBB48C861}"/>
            </a:ext>
          </a:extLst>
        </xdr:cNvPr>
        <xdr:cNvSpPr txBox="1"/>
      </xdr:nvSpPr>
      <xdr:spPr>
        <a:xfrm>
          <a:off x="4057650" y="5972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0</xdr:col>
      <xdr:colOff>190500</xdr:colOff>
      <xdr:row>2</xdr:row>
      <xdr:rowOff>295275</xdr:rowOff>
    </xdr:from>
    <xdr:to>
      <xdr:col>16</xdr:col>
      <xdr:colOff>0</xdr:colOff>
      <xdr:row>33</xdr:row>
      <xdr:rowOff>95250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4156A0C1-3673-4735-8C8A-3920EC1AD006}"/>
            </a:ext>
          </a:extLst>
        </xdr:cNvPr>
        <xdr:cNvGrpSpPr/>
      </xdr:nvGrpSpPr>
      <xdr:grpSpPr>
        <a:xfrm>
          <a:off x="190500" y="800100"/>
          <a:ext cx="8334375" cy="5686425"/>
          <a:chOff x="180974" y="800100"/>
          <a:chExt cx="8362951" cy="5686425"/>
        </a:xfrm>
      </xdr:grpSpPr>
      <xdr:sp macro="" textlink="">
        <xdr:nvSpPr>
          <xdr:cNvPr id="6" name="四角形: 角を丸くする 5">
            <a:extLst>
              <a:ext uri="{FF2B5EF4-FFF2-40B4-BE49-F238E27FC236}">
                <a16:creationId xmlns:a16="http://schemas.microsoft.com/office/drawing/2014/main" id="{AF31B2AE-90AA-6E1B-BEA1-1BD651325C7B}"/>
              </a:ext>
            </a:extLst>
          </xdr:cNvPr>
          <xdr:cNvSpPr/>
        </xdr:nvSpPr>
        <xdr:spPr>
          <a:xfrm>
            <a:off x="6257925" y="800100"/>
            <a:ext cx="914400" cy="2809875"/>
          </a:xfrm>
          <a:prstGeom prst="round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四角形: 角を丸くする 6">
            <a:extLst>
              <a:ext uri="{FF2B5EF4-FFF2-40B4-BE49-F238E27FC236}">
                <a16:creationId xmlns:a16="http://schemas.microsoft.com/office/drawing/2014/main" id="{FA7478E7-687D-17F1-B4B4-2788EF6AE8FD}"/>
              </a:ext>
            </a:extLst>
          </xdr:cNvPr>
          <xdr:cNvSpPr/>
        </xdr:nvSpPr>
        <xdr:spPr>
          <a:xfrm>
            <a:off x="7629525" y="800100"/>
            <a:ext cx="914400" cy="2809875"/>
          </a:xfrm>
          <a:prstGeom prst="round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四角形: 角を丸くする 7">
            <a:extLst>
              <a:ext uri="{FF2B5EF4-FFF2-40B4-BE49-F238E27FC236}">
                <a16:creationId xmlns:a16="http://schemas.microsoft.com/office/drawing/2014/main" id="{22E9AA70-8C21-7947-08BB-B5DFB4B6BBA0}"/>
              </a:ext>
            </a:extLst>
          </xdr:cNvPr>
          <xdr:cNvSpPr/>
        </xdr:nvSpPr>
        <xdr:spPr>
          <a:xfrm>
            <a:off x="180974" y="4800600"/>
            <a:ext cx="3533776" cy="1685925"/>
          </a:xfrm>
          <a:prstGeom prst="roundRect">
            <a:avLst/>
          </a:prstGeom>
          <a:noFill/>
          <a:ln w="38100">
            <a:solidFill>
              <a:srgbClr val="0066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9" name="直線矢印コネクタ 8">
            <a:extLst>
              <a:ext uri="{FF2B5EF4-FFF2-40B4-BE49-F238E27FC236}">
                <a16:creationId xmlns:a16="http://schemas.microsoft.com/office/drawing/2014/main" id="{D19748A4-5CEA-5E49-CA09-02489A1F35C3}"/>
              </a:ext>
            </a:extLst>
          </xdr:cNvPr>
          <xdr:cNvCxnSpPr>
            <a:stCxn id="10" idx="1"/>
          </xdr:cNvCxnSpPr>
        </xdr:nvCxnSpPr>
        <xdr:spPr>
          <a:xfrm flipH="1">
            <a:off x="3695700" y="5287315"/>
            <a:ext cx="590550" cy="341960"/>
          </a:xfrm>
          <a:prstGeom prst="straightConnector1">
            <a:avLst/>
          </a:prstGeom>
          <a:ln w="19050">
            <a:solidFill>
              <a:srgbClr val="0066FF"/>
            </a:solidFill>
            <a:tailEnd type="stealth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7B8969B3-BF85-9974-87FB-A8114AFD6EF0}"/>
              </a:ext>
            </a:extLst>
          </xdr:cNvPr>
          <xdr:cNvSpPr txBox="1"/>
        </xdr:nvSpPr>
        <xdr:spPr>
          <a:xfrm>
            <a:off x="4286250" y="5124450"/>
            <a:ext cx="543739" cy="3257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400" b="1">
                <a:solidFill>
                  <a:srgbClr val="0066FF"/>
                </a:solidFill>
              </a:rPr>
              <a:t>転記</a:t>
            </a:r>
          </a:p>
        </xdr:txBody>
      </xdr:sp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8A0E9E87-5E3A-4AC9-1CC9-9F08E6442A89}"/>
              </a:ext>
            </a:extLst>
          </xdr:cNvPr>
          <xdr:cNvSpPr txBox="1"/>
        </xdr:nvSpPr>
        <xdr:spPr>
          <a:xfrm>
            <a:off x="6419850" y="4524375"/>
            <a:ext cx="547018" cy="3257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集計</a:t>
            </a:r>
          </a:p>
        </xdr:txBody>
      </xdr:sp>
    </xdr:grpSp>
    <xdr:clientData/>
  </xdr:twoCellAnchor>
  <xdr:twoCellAnchor>
    <xdr:from>
      <xdr:col>11</xdr:col>
      <xdr:colOff>419100</xdr:colOff>
      <xdr:row>16</xdr:row>
      <xdr:rowOff>19050</xdr:rowOff>
    </xdr:from>
    <xdr:to>
      <xdr:col>11</xdr:col>
      <xdr:colOff>438150</xdr:colOff>
      <xdr:row>20</xdr:row>
      <xdr:rowOff>47625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C56C6951-3297-45AF-A962-CEE88FA6FAB9}"/>
            </a:ext>
          </a:extLst>
        </xdr:cNvPr>
        <xdr:cNvCxnSpPr/>
      </xdr:nvCxnSpPr>
      <xdr:spPr>
        <a:xfrm flipV="1">
          <a:off x="6648450" y="3600450"/>
          <a:ext cx="19050" cy="904875"/>
        </a:xfrm>
        <a:prstGeom prst="straightConnector1">
          <a:avLst/>
        </a:prstGeom>
        <a:ln w="19050">
          <a:solidFill>
            <a:srgbClr val="FF0000"/>
          </a:solidFill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428625</xdr:colOff>
      <xdr:row>16</xdr:row>
      <xdr:rowOff>19050</xdr:rowOff>
    </xdr:from>
    <xdr:to>
      <xdr:col>15</xdr:col>
      <xdr:colOff>590550</xdr:colOff>
      <xdr:row>20</xdr:row>
      <xdr:rowOff>38100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5F24DC6E-8309-46D8-B265-A1F653702953}"/>
            </a:ext>
          </a:extLst>
        </xdr:cNvPr>
        <xdr:cNvCxnSpPr/>
      </xdr:nvCxnSpPr>
      <xdr:spPr>
        <a:xfrm flipV="1">
          <a:off x="6657975" y="3600450"/>
          <a:ext cx="1381125" cy="895350"/>
        </a:xfrm>
        <a:prstGeom prst="straightConnector1">
          <a:avLst/>
        </a:prstGeom>
        <a:ln w="19050">
          <a:solidFill>
            <a:srgbClr val="FF0000"/>
          </a:solidFill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485775</xdr:colOff>
      <xdr:row>23</xdr:row>
      <xdr:rowOff>142875</xdr:rowOff>
    </xdr:from>
    <xdr:ext cx="184731" cy="311496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F445BE96-C28C-7048-F9CF-70478137205C}"/>
            </a:ext>
          </a:extLst>
        </xdr:cNvPr>
        <xdr:cNvSpPr txBox="1"/>
      </xdr:nvSpPr>
      <xdr:spPr>
        <a:xfrm>
          <a:off x="5629275" y="5334000"/>
          <a:ext cx="18473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altLang="ja-JP" sz="1400" b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0</xdr:col>
      <xdr:colOff>57149</xdr:colOff>
      <xdr:row>0</xdr:row>
      <xdr:rowOff>28576</xdr:rowOff>
    </xdr:from>
    <xdr:to>
      <xdr:col>5</xdr:col>
      <xdr:colOff>371475</xdr:colOff>
      <xdr:row>7</xdr:row>
      <xdr:rowOff>133350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B808B578-58E1-1632-4F5F-EC9A21C63A03}"/>
            </a:ext>
          </a:extLst>
        </xdr:cNvPr>
        <xdr:cNvGrpSpPr/>
      </xdr:nvGrpSpPr>
      <xdr:grpSpPr>
        <a:xfrm>
          <a:off x="57149" y="28576"/>
          <a:ext cx="2714626" cy="1752599"/>
          <a:chOff x="57149" y="28576"/>
          <a:chExt cx="2714626" cy="1752599"/>
        </a:xfrm>
      </xdr:grpSpPr>
      <xdr:sp macro="" textlink="">
        <xdr:nvSpPr>
          <xdr:cNvPr id="15" name="四角形: 角を丸くする 14">
            <a:extLst>
              <a:ext uri="{FF2B5EF4-FFF2-40B4-BE49-F238E27FC236}">
                <a16:creationId xmlns:a16="http://schemas.microsoft.com/office/drawing/2014/main" id="{F635F9CB-82A5-E4D3-8555-A7740AE258DD}"/>
              </a:ext>
            </a:extLst>
          </xdr:cNvPr>
          <xdr:cNvSpPr/>
        </xdr:nvSpPr>
        <xdr:spPr>
          <a:xfrm>
            <a:off x="952500" y="1114425"/>
            <a:ext cx="1819275" cy="66675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4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"</a:t>
            </a:r>
            <a:r>
              <a:rPr lang="ja-JP" altLang="ja-JP" sz="14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キーワード項目列</a:t>
            </a:r>
            <a:r>
              <a:rPr lang="en-US" altLang="ja-JP" sz="14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":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4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["A", "B", "C"]</a:t>
            </a:r>
            <a:endParaRPr lang="ja-JP" altLang="ja-JP" sz="1400" b="1">
              <a:solidFill>
                <a:srgbClr val="FF0000"/>
              </a:solidFill>
              <a:effectLst/>
            </a:endParaRPr>
          </a:p>
          <a:p>
            <a:pPr algn="l"/>
            <a:endParaRPr kumimoji="1" lang="ja-JP" altLang="en-US" sz="1100"/>
          </a:p>
        </xdr:txBody>
      </xdr:sp>
      <xdr:cxnSp macro="">
        <xdr:nvCxnSpPr>
          <xdr:cNvPr id="17" name="直線矢印コネクタ 16">
            <a:extLst>
              <a:ext uri="{FF2B5EF4-FFF2-40B4-BE49-F238E27FC236}">
                <a16:creationId xmlns:a16="http://schemas.microsoft.com/office/drawing/2014/main" id="{A869990D-9C79-896F-17B5-5B802DC4BCDB}"/>
              </a:ext>
            </a:extLst>
          </xdr:cNvPr>
          <xdr:cNvCxnSpPr>
            <a:endCxn id="19" idx="1"/>
          </xdr:cNvCxnSpPr>
        </xdr:nvCxnSpPr>
        <xdr:spPr>
          <a:xfrm flipH="1" flipV="1">
            <a:off x="457199" y="161926"/>
            <a:ext cx="733426" cy="914399"/>
          </a:xfrm>
          <a:prstGeom prst="straightConnector1">
            <a:avLst/>
          </a:prstGeom>
          <a:ln w="19050">
            <a:solidFill>
              <a:srgbClr val="C00000"/>
            </a:solidFill>
            <a:tailEnd type="stealth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右中かっこ 18">
            <a:extLst>
              <a:ext uri="{FF2B5EF4-FFF2-40B4-BE49-F238E27FC236}">
                <a16:creationId xmlns:a16="http://schemas.microsoft.com/office/drawing/2014/main" id="{69B17D01-6089-BCA2-A2CD-CBDBD1211816}"/>
              </a:ext>
            </a:extLst>
          </xdr:cNvPr>
          <xdr:cNvSpPr/>
        </xdr:nvSpPr>
        <xdr:spPr>
          <a:xfrm rot="5400000">
            <a:off x="390524" y="-304799"/>
            <a:ext cx="133350" cy="800100"/>
          </a:xfrm>
          <a:prstGeom prst="rightBrace">
            <a:avLst/>
          </a:prstGeom>
          <a:ln w="254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857250</xdr:colOff>
      <xdr:row>11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7696DDF-8F42-4571-AC86-6754476CE7E4}"/>
            </a:ext>
          </a:extLst>
        </xdr:cNvPr>
        <xdr:cNvSpPr txBox="1"/>
      </xdr:nvSpPr>
      <xdr:spPr>
        <a:xfrm>
          <a:off x="3914775" y="2533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11</xdr:col>
      <xdr:colOff>466725</xdr:colOff>
      <xdr:row>16</xdr:row>
      <xdr:rowOff>28575</xdr:rowOff>
    </xdr:from>
    <xdr:to>
      <xdr:col>11</xdr:col>
      <xdr:colOff>485775</xdr:colOff>
      <xdr:row>20</xdr:row>
      <xdr:rowOff>57150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8616164-9196-844B-3D2B-F6D7498E5553}"/>
            </a:ext>
          </a:extLst>
        </xdr:cNvPr>
        <xdr:cNvCxnSpPr>
          <a:endCxn id="3" idx="2"/>
        </xdr:cNvCxnSpPr>
      </xdr:nvCxnSpPr>
      <xdr:spPr>
        <a:xfrm flipV="1">
          <a:off x="6696075" y="3609975"/>
          <a:ext cx="19050" cy="904875"/>
        </a:xfrm>
        <a:prstGeom prst="straightConnector1">
          <a:avLst/>
        </a:prstGeom>
        <a:ln w="19050">
          <a:solidFill>
            <a:srgbClr val="FF0000"/>
          </a:solidFill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476250</xdr:colOff>
      <xdr:row>16</xdr:row>
      <xdr:rowOff>28575</xdr:rowOff>
    </xdr:from>
    <xdr:to>
      <xdr:col>15</xdr:col>
      <xdr:colOff>638175</xdr:colOff>
      <xdr:row>20</xdr:row>
      <xdr:rowOff>47625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7DF6E9E2-1C71-4366-9665-A94DD7158053}"/>
            </a:ext>
          </a:extLst>
        </xdr:cNvPr>
        <xdr:cNvCxnSpPr>
          <a:endCxn id="4" idx="2"/>
        </xdr:cNvCxnSpPr>
      </xdr:nvCxnSpPr>
      <xdr:spPr>
        <a:xfrm flipV="1">
          <a:off x="6705600" y="3609975"/>
          <a:ext cx="1381125" cy="895350"/>
        </a:xfrm>
        <a:prstGeom prst="straightConnector1">
          <a:avLst/>
        </a:prstGeom>
        <a:ln w="19050">
          <a:solidFill>
            <a:srgbClr val="FF0000"/>
          </a:solidFill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180974</xdr:colOff>
      <xdr:row>2</xdr:row>
      <xdr:rowOff>295275</xdr:rowOff>
    </xdr:from>
    <xdr:to>
      <xdr:col>16</xdr:col>
      <xdr:colOff>19050</xdr:colOff>
      <xdr:row>33</xdr:row>
      <xdr:rowOff>85725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EF8EE79A-AAAE-3BA1-D164-73527AF06E10}"/>
            </a:ext>
          </a:extLst>
        </xdr:cNvPr>
        <xdr:cNvGrpSpPr/>
      </xdr:nvGrpSpPr>
      <xdr:grpSpPr>
        <a:xfrm>
          <a:off x="180974" y="800100"/>
          <a:ext cx="8362951" cy="5686425"/>
          <a:chOff x="180974" y="800100"/>
          <a:chExt cx="8362951" cy="5686425"/>
        </a:xfrm>
      </xdr:grpSpPr>
      <xdr:sp macro="" textlink="">
        <xdr:nvSpPr>
          <xdr:cNvPr id="3" name="四角形: 角を丸くする 2">
            <a:extLst>
              <a:ext uri="{FF2B5EF4-FFF2-40B4-BE49-F238E27FC236}">
                <a16:creationId xmlns:a16="http://schemas.microsoft.com/office/drawing/2014/main" id="{A0EAC623-DE19-7690-5F03-405E3048533B}"/>
              </a:ext>
            </a:extLst>
          </xdr:cNvPr>
          <xdr:cNvSpPr/>
        </xdr:nvSpPr>
        <xdr:spPr>
          <a:xfrm>
            <a:off x="6257925" y="800100"/>
            <a:ext cx="914400" cy="2809875"/>
          </a:xfrm>
          <a:prstGeom prst="round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" name="四角形: 角を丸くする 3">
            <a:extLst>
              <a:ext uri="{FF2B5EF4-FFF2-40B4-BE49-F238E27FC236}">
                <a16:creationId xmlns:a16="http://schemas.microsoft.com/office/drawing/2014/main" id="{91EFA612-21CD-43A3-B964-1DD08BDBDC3F}"/>
              </a:ext>
            </a:extLst>
          </xdr:cNvPr>
          <xdr:cNvSpPr/>
        </xdr:nvSpPr>
        <xdr:spPr>
          <a:xfrm>
            <a:off x="7629525" y="800100"/>
            <a:ext cx="914400" cy="2809875"/>
          </a:xfrm>
          <a:prstGeom prst="round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四角形: 角を丸くする 4">
            <a:extLst>
              <a:ext uri="{FF2B5EF4-FFF2-40B4-BE49-F238E27FC236}">
                <a16:creationId xmlns:a16="http://schemas.microsoft.com/office/drawing/2014/main" id="{719BC1A6-8821-487E-99C3-6042038C80CC}"/>
              </a:ext>
            </a:extLst>
          </xdr:cNvPr>
          <xdr:cNvSpPr/>
        </xdr:nvSpPr>
        <xdr:spPr>
          <a:xfrm>
            <a:off x="180974" y="4800600"/>
            <a:ext cx="3533776" cy="1685925"/>
          </a:xfrm>
          <a:prstGeom prst="roundRect">
            <a:avLst/>
          </a:prstGeom>
          <a:noFill/>
          <a:ln w="38100">
            <a:solidFill>
              <a:srgbClr val="0066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4" name="直線矢印コネクタ 13">
            <a:extLst>
              <a:ext uri="{FF2B5EF4-FFF2-40B4-BE49-F238E27FC236}">
                <a16:creationId xmlns:a16="http://schemas.microsoft.com/office/drawing/2014/main" id="{BEC2DE99-A0A6-467B-A7DC-6F029333308C}"/>
              </a:ext>
            </a:extLst>
          </xdr:cNvPr>
          <xdr:cNvCxnSpPr>
            <a:stCxn id="18" idx="1"/>
          </xdr:cNvCxnSpPr>
        </xdr:nvCxnSpPr>
        <xdr:spPr>
          <a:xfrm flipH="1">
            <a:off x="3695700" y="5287315"/>
            <a:ext cx="590550" cy="341960"/>
          </a:xfrm>
          <a:prstGeom prst="straightConnector1">
            <a:avLst/>
          </a:prstGeom>
          <a:ln w="19050">
            <a:solidFill>
              <a:srgbClr val="0066FF"/>
            </a:solidFill>
            <a:tailEnd type="stealth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75738455-3026-60D2-577A-1F5193CE18C1}"/>
              </a:ext>
            </a:extLst>
          </xdr:cNvPr>
          <xdr:cNvSpPr txBox="1"/>
        </xdr:nvSpPr>
        <xdr:spPr>
          <a:xfrm>
            <a:off x="4286250" y="5124450"/>
            <a:ext cx="543739" cy="3257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400" b="1">
                <a:solidFill>
                  <a:srgbClr val="0066FF"/>
                </a:solidFill>
              </a:rPr>
              <a:t>転記</a:t>
            </a:r>
          </a:p>
        </xdr:txBody>
      </xdr:sp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1F41922D-0525-4AE3-A626-C91FEADBC9B8}"/>
              </a:ext>
            </a:extLst>
          </xdr:cNvPr>
          <xdr:cNvSpPr txBox="1"/>
        </xdr:nvSpPr>
        <xdr:spPr>
          <a:xfrm>
            <a:off x="6419850" y="4524375"/>
            <a:ext cx="545149" cy="32573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400" b="1">
                <a:solidFill>
                  <a:srgbClr val="FF0000"/>
                </a:solidFill>
              </a:rPr>
              <a:t>集計</a:t>
            </a:r>
          </a:p>
        </xdr:txBody>
      </xdr:sp>
    </xdr:grpSp>
    <xdr:clientData/>
  </xdr:twoCellAnchor>
  <xdr:twoCellAnchor>
    <xdr:from>
      <xdr:col>0</xdr:col>
      <xdr:colOff>66675</xdr:colOff>
      <xdr:row>0</xdr:row>
      <xdr:rowOff>38100</xdr:rowOff>
    </xdr:from>
    <xdr:to>
      <xdr:col>5</xdr:col>
      <xdr:colOff>381001</xdr:colOff>
      <xdr:row>7</xdr:row>
      <xdr:rowOff>142874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10AB82EF-426B-47D5-AE59-9B5F69A591B5}"/>
            </a:ext>
          </a:extLst>
        </xdr:cNvPr>
        <xdr:cNvGrpSpPr/>
      </xdr:nvGrpSpPr>
      <xdr:grpSpPr>
        <a:xfrm>
          <a:off x="66675" y="38100"/>
          <a:ext cx="2714626" cy="1752599"/>
          <a:chOff x="57149" y="28576"/>
          <a:chExt cx="2714626" cy="1752599"/>
        </a:xfrm>
      </xdr:grpSpPr>
      <xdr:sp macro="" textlink="">
        <xdr:nvSpPr>
          <xdr:cNvPr id="26" name="四角形: 角を丸くする 25">
            <a:extLst>
              <a:ext uri="{FF2B5EF4-FFF2-40B4-BE49-F238E27FC236}">
                <a16:creationId xmlns:a16="http://schemas.microsoft.com/office/drawing/2014/main" id="{52578286-A207-DF61-8F79-694877B0F2FE}"/>
              </a:ext>
            </a:extLst>
          </xdr:cNvPr>
          <xdr:cNvSpPr/>
        </xdr:nvSpPr>
        <xdr:spPr>
          <a:xfrm>
            <a:off x="952500" y="1114425"/>
            <a:ext cx="1819275" cy="66675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4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"</a:t>
            </a:r>
            <a:r>
              <a:rPr lang="ja-JP" altLang="ja-JP" sz="14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キーワード項目列</a:t>
            </a:r>
            <a:r>
              <a:rPr lang="en-US" altLang="ja-JP" sz="14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":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400" b="1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["A", "B", "C"]</a:t>
            </a:r>
            <a:endParaRPr lang="ja-JP" altLang="ja-JP" sz="1400" b="1">
              <a:solidFill>
                <a:srgbClr val="FF0000"/>
              </a:solidFill>
              <a:effectLst/>
            </a:endParaRPr>
          </a:p>
          <a:p>
            <a:pPr algn="l"/>
            <a:endParaRPr kumimoji="1" lang="ja-JP" altLang="en-US" sz="1100"/>
          </a:p>
        </xdr:txBody>
      </xdr:sp>
      <xdr:cxnSp macro="">
        <xdr:nvCxnSpPr>
          <xdr:cNvPr id="27" name="直線矢印コネクタ 26">
            <a:extLst>
              <a:ext uri="{FF2B5EF4-FFF2-40B4-BE49-F238E27FC236}">
                <a16:creationId xmlns:a16="http://schemas.microsoft.com/office/drawing/2014/main" id="{F5A8B45A-B2E5-4874-0423-C4D590A61CCD}"/>
              </a:ext>
            </a:extLst>
          </xdr:cNvPr>
          <xdr:cNvCxnSpPr>
            <a:endCxn id="28" idx="1"/>
          </xdr:cNvCxnSpPr>
        </xdr:nvCxnSpPr>
        <xdr:spPr>
          <a:xfrm flipH="1" flipV="1">
            <a:off x="457199" y="161926"/>
            <a:ext cx="733426" cy="914399"/>
          </a:xfrm>
          <a:prstGeom prst="straightConnector1">
            <a:avLst/>
          </a:prstGeom>
          <a:ln w="19050">
            <a:solidFill>
              <a:srgbClr val="C00000"/>
            </a:solidFill>
            <a:tailEnd type="stealth" w="med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右中かっこ 27">
            <a:extLst>
              <a:ext uri="{FF2B5EF4-FFF2-40B4-BE49-F238E27FC236}">
                <a16:creationId xmlns:a16="http://schemas.microsoft.com/office/drawing/2014/main" id="{0D316E34-8CB2-4B6D-6C1E-E278F716B0F1}"/>
              </a:ext>
            </a:extLst>
          </xdr:cNvPr>
          <xdr:cNvSpPr/>
        </xdr:nvSpPr>
        <xdr:spPr>
          <a:xfrm rot="5400000">
            <a:off x="390524" y="-304799"/>
            <a:ext cx="133350" cy="800100"/>
          </a:xfrm>
          <a:prstGeom prst="rightBrace">
            <a:avLst/>
          </a:prstGeom>
          <a:ln w="25400"/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85CC-551D-4FFB-B4EF-02527B06092D}">
  <sheetPr>
    <tabColor rgb="FFFF99FF"/>
    <pageSetUpPr fitToPage="1"/>
  </sheetPr>
  <dimension ref="A1:Q35"/>
  <sheetViews>
    <sheetView showGridLines="0" zoomScaleNormal="100" workbookViewId="0">
      <selection activeCell="S29" sqref="S29"/>
    </sheetView>
  </sheetViews>
  <sheetFormatPr defaultColWidth="9" defaultRowHeight="13.5" x14ac:dyDescent="0.15"/>
  <cols>
    <col min="1" max="1" width="2.625" style="32" customWidth="1"/>
    <col min="2" max="2" width="5" style="32" customWidth="1"/>
    <col min="3" max="3" width="4.125" style="32" customWidth="1"/>
    <col min="4" max="4" width="15.125" style="1" customWidth="1"/>
    <col min="5" max="5" width="4.625" style="1" customWidth="1"/>
    <col min="6" max="6" width="8.625" style="2" customWidth="1"/>
    <col min="7" max="7" width="8.625" style="1" customWidth="1"/>
    <col min="8" max="8" width="8.625" style="13" customWidth="1"/>
    <col min="9" max="9" width="10.125" style="1" customWidth="1"/>
    <col min="10" max="10" width="10.125" style="2" customWidth="1"/>
    <col min="11" max="11" width="4.125" style="2" customWidth="1"/>
    <col min="12" max="12" width="12.375" style="1" customWidth="1"/>
    <col min="13" max="13" width="0.625" style="1" customWidth="1"/>
    <col min="14" max="14" width="11.125" style="1" hidden="1" customWidth="1"/>
    <col min="15" max="15" width="3" style="1" customWidth="1"/>
    <col min="16" max="16" width="14.125" style="1" customWidth="1"/>
    <col min="17" max="16384" width="9" style="1"/>
  </cols>
  <sheetData>
    <row r="1" spans="1:17" ht="20.25" customHeight="1" thickTop="1" thickBot="1" x14ac:dyDescent="0.25">
      <c r="D1" s="3" t="s">
        <v>14</v>
      </c>
      <c r="E1" s="3"/>
      <c r="F1" s="4"/>
      <c r="J1" s="58" t="s">
        <v>15</v>
      </c>
      <c r="K1" s="80">
        <v>45992</v>
      </c>
      <c r="L1" s="81"/>
      <c r="M1" s="17"/>
      <c r="N1" s="18" t="s">
        <v>0</v>
      </c>
      <c r="O1" s="19"/>
      <c r="P1" s="20"/>
    </row>
    <row r="2" spans="1:17" s="41" customFormat="1" ht="20.100000000000001" customHeight="1" thickTop="1" thickBot="1" x14ac:dyDescent="0.2">
      <c r="B2" s="61" t="s">
        <v>16</v>
      </c>
      <c r="C2" s="62"/>
      <c r="D2" s="62"/>
      <c r="E2" s="61"/>
      <c r="F2" s="63" t="s">
        <v>23</v>
      </c>
      <c r="G2" s="42"/>
      <c r="H2" s="59" t="s">
        <v>22</v>
      </c>
      <c r="J2" s="43"/>
      <c r="K2" s="44"/>
      <c r="L2" s="45" t="s">
        <v>19</v>
      </c>
      <c r="M2" s="46"/>
      <c r="N2" s="46" t="s">
        <v>1</v>
      </c>
      <c r="O2" s="47"/>
      <c r="P2" s="45" t="s">
        <v>20</v>
      </c>
      <c r="Q2" s="154" t="s">
        <v>24</v>
      </c>
    </row>
    <row r="3" spans="1:17" s="6" customFormat="1" ht="24" customHeight="1" thickTop="1" thickBot="1" x14ac:dyDescent="0.2">
      <c r="A3" s="33"/>
      <c r="B3" s="87" t="s">
        <v>2</v>
      </c>
      <c r="C3" s="66" t="s">
        <v>3</v>
      </c>
      <c r="D3" s="88"/>
      <c r="E3" s="89"/>
      <c r="F3" s="89" t="s">
        <v>24</v>
      </c>
      <c r="G3" s="89"/>
      <c r="H3" s="89" t="s">
        <v>24</v>
      </c>
      <c r="I3" s="89"/>
      <c r="J3" s="89"/>
      <c r="K3" s="89"/>
      <c r="L3" s="90" t="s">
        <v>4</v>
      </c>
      <c r="M3" s="91"/>
      <c r="N3" s="92" t="s">
        <v>5</v>
      </c>
      <c r="O3" s="93"/>
      <c r="P3" s="94" t="s">
        <v>4</v>
      </c>
      <c r="Q3" s="6">
        <v>1</v>
      </c>
    </row>
    <row r="4" spans="1:17" s="106" customFormat="1" ht="16.5" customHeight="1" thickTop="1" x14ac:dyDescent="0.15">
      <c r="A4" s="96"/>
      <c r="B4" s="65"/>
      <c r="C4" s="35">
        <v>4</v>
      </c>
      <c r="D4" s="97"/>
      <c r="E4" s="98"/>
      <c r="F4" s="99">
        <v>1</v>
      </c>
      <c r="G4" s="97"/>
      <c r="H4" s="99"/>
      <c r="I4" s="100">
        <v>70</v>
      </c>
      <c r="J4" s="99">
        <v>200</v>
      </c>
      <c r="K4" s="100"/>
      <c r="L4" s="101">
        <f>SUM(F4:F4)+SUM(H4:H4)+SUM(I4:I4)+SUM(J4:J4)+SUM(K4:K4)</f>
        <v>271</v>
      </c>
      <c r="M4" s="102"/>
      <c r="N4" s="103"/>
      <c r="O4" s="104"/>
      <c r="P4" s="105">
        <v>200</v>
      </c>
      <c r="Q4" s="107">
        <v>3</v>
      </c>
    </row>
    <row r="5" spans="1:17" s="106" customFormat="1" ht="16.5" customHeight="1" x14ac:dyDescent="0.15">
      <c r="A5" s="96"/>
      <c r="B5" s="108"/>
      <c r="C5" s="64">
        <v>5</v>
      </c>
      <c r="D5" s="109"/>
      <c r="E5" s="110"/>
      <c r="F5" s="111">
        <v>3</v>
      </c>
      <c r="G5" s="109"/>
      <c r="H5" s="111"/>
      <c r="I5" s="112">
        <v>750</v>
      </c>
      <c r="J5" s="111">
        <v>200</v>
      </c>
      <c r="K5" s="112"/>
      <c r="L5" s="113">
        <f>SUM(F5:F5)+SUM(H5:H5)+SUM(I5:I5)+SUM(J5:J5)+SUM(K5:K5)</f>
        <v>953</v>
      </c>
      <c r="M5" s="102"/>
      <c r="N5" s="114"/>
      <c r="O5" s="104"/>
      <c r="P5" s="115" ph="1">
        <v>200</v>
      </c>
      <c r="Q5" s="107">
        <v>5</v>
      </c>
    </row>
    <row r="6" spans="1:17" s="106" customFormat="1" ht="16.5" customHeight="1" x14ac:dyDescent="0.15">
      <c r="A6" s="96"/>
      <c r="B6" s="108"/>
      <c r="C6" s="64">
        <v>6</v>
      </c>
      <c r="D6" s="109"/>
      <c r="E6" s="110"/>
      <c r="F6" s="111">
        <v>6</v>
      </c>
      <c r="G6" s="109"/>
      <c r="H6" s="111">
        <v>400</v>
      </c>
      <c r="I6" s="112">
        <v>70</v>
      </c>
      <c r="J6" s="111">
        <v>200</v>
      </c>
      <c r="K6" s="112"/>
      <c r="L6" s="113">
        <f>SUM(F6:F6)+SUM(H6:H6)+SUM(I6:I6)+SUM(J6:J6)+SUM(K6:K6)</f>
        <v>676</v>
      </c>
      <c r="M6" s="102"/>
      <c r="N6" s="103"/>
      <c r="O6" s="104"/>
      <c r="P6" s="115" ph="1">
        <v>200</v>
      </c>
      <c r="Q6" s="107">
        <v>8</v>
      </c>
    </row>
    <row r="7" spans="1:17" s="106" customFormat="1" ht="16.5" customHeight="1" x14ac:dyDescent="0.15">
      <c r="A7" s="96"/>
      <c r="B7" s="108"/>
      <c r="C7" s="64">
        <v>7</v>
      </c>
      <c r="D7" s="109"/>
      <c r="E7" s="110"/>
      <c r="F7" s="111">
        <v>8</v>
      </c>
      <c r="G7" s="109"/>
      <c r="H7" s="111">
        <v>1100</v>
      </c>
      <c r="I7" s="112">
        <v>70</v>
      </c>
      <c r="J7" s="111">
        <v>200</v>
      </c>
      <c r="K7" s="112"/>
      <c r="L7" s="113">
        <f>SUM(F7:F7)+SUM(H7:H7)+SUM(I7:I7)+SUM(J7:J7)+SUM(K7:K7)</f>
        <v>1378</v>
      </c>
      <c r="M7" s="102"/>
      <c r="N7" s="103"/>
      <c r="O7" s="104"/>
      <c r="P7" s="115">
        <v>200</v>
      </c>
      <c r="Q7" s="107">
        <v>10</v>
      </c>
    </row>
    <row r="8" spans="1:17" s="106" customFormat="1" ht="16.5" customHeight="1" x14ac:dyDescent="0.15">
      <c r="A8" s="96"/>
      <c r="B8" s="108"/>
      <c r="C8" s="64">
        <v>8</v>
      </c>
      <c r="D8" s="109"/>
      <c r="E8" s="110"/>
      <c r="F8" s="111">
        <v>10</v>
      </c>
      <c r="G8" s="109"/>
      <c r="H8" s="111"/>
      <c r="I8" s="112">
        <v>70</v>
      </c>
      <c r="J8" s="111">
        <v>200</v>
      </c>
      <c r="K8" s="112"/>
      <c r="L8" s="113">
        <f>SUM(F8:F8)+SUM(H8:H8)+SUM(I8:I8)+SUM(J8:J8)+SUM(K8:K8)</f>
        <v>280</v>
      </c>
      <c r="M8" s="102"/>
      <c r="N8" s="116"/>
      <c r="O8" s="104"/>
      <c r="P8" s="115">
        <v>200</v>
      </c>
      <c r="Q8" s="107">
        <v>12</v>
      </c>
    </row>
    <row r="9" spans="1:17" s="106" customFormat="1" ht="16.5" customHeight="1" thickBot="1" x14ac:dyDescent="0.2">
      <c r="A9" s="96"/>
      <c r="B9" s="117"/>
      <c r="C9" s="36">
        <v>9</v>
      </c>
      <c r="D9" s="118"/>
      <c r="E9" s="119"/>
      <c r="F9" s="120">
        <v>12</v>
      </c>
      <c r="G9" s="118"/>
      <c r="H9" s="120">
        <v>300</v>
      </c>
      <c r="I9" s="121">
        <v>70</v>
      </c>
      <c r="J9" s="120">
        <v>200</v>
      </c>
      <c r="K9" s="121"/>
      <c r="L9" s="122">
        <f>SUM(F9:F9)+SUM(H9:H9)+SUM(I9:I9)+SUM(J9:J9)+SUM(K9:K9)</f>
        <v>582</v>
      </c>
      <c r="M9" s="102"/>
      <c r="N9" s="103"/>
      <c r="O9" s="104"/>
      <c r="P9" s="123">
        <v>200</v>
      </c>
      <c r="Q9" s="107">
        <v>14</v>
      </c>
    </row>
    <row r="10" spans="1:17" s="106" customFormat="1" ht="20.25" customHeight="1" thickTop="1" thickBot="1" x14ac:dyDescent="0.2">
      <c r="A10" s="96"/>
      <c r="B10" s="124"/>
      <c r="C10" s="125" t="s">
        <v>6</v>
      </c>
      <c r="D10" s="126"/>
      <c r="E10" s="126"/>
      <c r="F10" s="127">
        <f>SUM(F4:F9)</f>
        <v>40</v>
      </c>
      <c r="G10" s="128"/>
      <c r="H10" s="127">
        <f>SUM(H4:H9)</f>
        <v>1800</v>
      </c>
      <c r="I10" s="127">
        <f>SUM(I4:I9)</f>
        <v>1100</v>
      </c>
      <c r="J10" s="127">
        <f>SUM(J4:J9)</f>
        <v>1200</v>
      </c>
      <c r="K10" s="127">
        <f>SUM(K4:K9)</f>
        <v>0</v>
      </c>
      <c r="L10" s="129">
        <f>SUM(L4,L5,L6,L7,L8,L9)</f>
        <v>4140</v>
      </c>
      <c r="M10" s="130"/>
      <c r="N10" s="131">
        <f>SUM(N4:N9)</f>
        <v>0</v>
      </c>
      <c r="O10" s="104"/>
      <c r="P10" s="132">
        <f>SUM(P4,P5,P6,P7,P8,P9)</f>
        <v>1200</v>
      </c>
      <c r="Q10" s="107">
        <v>16</v>
      </c>
    </row>
    <row r="11" spans="1:17" s="106" customFormat="1" ht="16.5" customHeight="1" thickTop="1" x14ac:dyDescent="0.15">
      <c r="A11" s="96"/>
      <c r="B11" s="133"/>
      <c r="C11" s="35">
        <v>10</v>
      </c>
      <c r="D11" s="97"/>
      <c r="E11" s="98"/>
      <c r="F11" s="99"/>
      <c r="G11" s="97"/>
      <c r="H11" s="99"/>
      <c r="I11" s="100">
        <v>70</v>
      </c>
      <c r="J11" s="99">
        <v>200</v>
      </c>
      <c r="K11" s="100"/>
      <c r="L11" s="101">
        <f>SUM(F11:F11)+SUM(H11:H11)+SUM(I11:I11)+SUM(J11:J11)+SUM(K11:K11)</f>
        <v>270</v>
      </c>
      <c r="M11" s="102"/>
      <c r="N11" s="103">
        <v>0</v>
      </c>
      <c r="O11" s="104"/>
      <c r="P11" s="105">
        <v>200</v>
      </c>
      <c r="Q11" s="107">
        <v>18</v>
      </c>
    </row>
    <row r="12" spans="1:17" s="106" customFormat="1" ht="16.5" customHeight="1" x14ac:dyDescent="0.15">
      <c r="A12" s="96"/>
      <c r="B12" s="108"/>
      <c r="C12" s="64">
        <v>11</v>
      </c>
      <c r="D12" s="109"/>
      <c r="E12" s="110"/>
      <c r="F12" s="111"/>
      <c r="G12" s="109"/>
      <c r="H12" s="111"/>
      <c r="I12" s="112">
        <v>70</v>
      </c>
      <c r="J12" s="111">
        <v>200</v>
      </c>
      <c r="K12" s="112"/>
      <c r="L12" s="113">
        <f>SUM(F12:F12)+SUM(H12:H12)+SUM(I12:I12)+SUM(J12:J12)+SUM(K12:K12)</f>
        <v>270</v>
      </c>
      <c r="M12" s="102"/>
      <c r="N12" s="103">
        <v>0</v>
      </c>
      <c r="O12" s="104"/>
      <c r="P12" s="115" ph="1">
        <v>200</v>
      </c>
      <c r="Q12" s="107">
        <v>20</v>
      </c>
    </row>
    <row r="13" spans="1:17" s="106" customFormat="1" ht="16.5" customHeight="1" x14ac:dyDescent="0.15">
      <c r="A13" s="96"/>
      <c r="B13" s="108"/>
      <c r="C13" s="64">
        <v>12</v>
      </c>
      <c r="D13" s="109"/>
      <c r="E13" s="110"/>
      <c r="F13" s="111"/>
      <c r="G13" s="109"/>
      <c r="H13" s="111"/>
      <c r="I13" s="112">
        <v>70</v>
      </c>
      <c r="J13" s="111">
        <v>200</v>
      </c>
      <c r="K13" s="112"/>
      <c r="L13" s="113">
        <f>SUM(F13:F13)+SUM(H13:H13)+SUM(I13:I13)+SUM(J13:J13)+SUM(K13:K13)</f>
        <v>270</v>
      </c>
      <c r="M13" s="102"/>
      <c r="N13" s="103">
        <v>0</v>
      </c>
      <c r="O13" s="104"/>
      <c r="P13" s="115" ph="1">
        <v>200</v>
      </c>
      <c r="Q13" s="107">
        <v>22</v>
      </c>
    </row>
    <row r="14" spans="1:17" s="106" customFormat="1" ht="16.5" customHeight="1" x14ac:dyDescent="0.15">
      <c r="A14" s="96"/>
      <c r="B14" s="108"/>
      <c r="C14" s="64">
        <v>1</v>
      </c>
      <c r="D14" s="109"/>
      <c r="E14" s="110"/>
      <c r="F14" s="111"/>
      <c r="G14" s="109"/>
      <c r="H14" s="111"/>
      <c r="I14" s="112">
        <v>70</v>
      </c>
      <c r="J14" s="111">
        <v>200</v>
      </c>
      <c r="K14" s="112"/>
      <c r="L14" s="113">
        <f>SUM(F14:F14)+SUM(H14:H14)+SUM(I14:I14)+SUM(J14:J14)+SUM(K14:K14)</f>
        <v>270</v>
      </c>
      <c r="M14" s="102"/>
      <c r="N14" s="103">
        <v>0</v>
      </c>
      <c r="O14" s="104"/>
      <c r="P14" s="115">
        <v>200</v>
      </c>
      <c r="Q14" s="107">
        <v>24</v>
      </c>
    </row>
    <row r="15" spans="1:17" s="106" customFormat="1" ht="16.5" customHeight="1" x14ac:dyDescent="0.15">
      <c r="A15" s="96"/>
      <c r="B15" s="108"/>
      <c r="C15" s="64">
        <v>2</v>
      </c>
      <c r="D15" s="109"/>
      <c r="E15" s="110"/>
      <c r="F15" s="111"/>
      <c r="G15" s="109"/>
      <c r="H15" s="111"/>
      <c r="I15" s="112">
        <v>70</v>
      </c>
      <c r="J15" s="111">
        <v>200</v>
      </c>
      <c r="K15" s="112"/>
      <c r="L15" s="113">
        <f>SUM(F15:F15)+SUM(H15:H15)+SUM(I15:I15)+SUM(J15:J15)+SUM(K15:K15)</f>
        <v>270</v>
      </c>
      <c r="M15" s="102"/>
      <c r="N15" s="103">
        <v>0</v>
      </c>
      <c r="O15" s="104"/>
      <c r="P15" s="115">
        <v>200</v>
      </c>
      <c r="Q15" s="107">
        <v>26</v>
      </c>
    </row>
    <row r="16" spans="1:17" s="106" customFormat="1" ht="16.5" customHeight="1" x14ac:dyDescent="0.15">
      <c r="A16" s="96"/>
      <c r="B16" s="108"/>
      <c r="C16" s="64">
        <v>3</v>
      </c>
      <c r="D16" s="109"/>
      <c r="E16" s="110"/>
      <c r="F16" s="111">
        <v>3000</v>
      </c>
      <c r="G16" s="109"/>
      <c r="H16" s="111">
        <v>3000</v>
      </c>
      <c r="I16" s="112">
        <v>70</v>
      </c>
      <c r="J16" s="111">
        <v>200</v>
      </c>
      <c r="K16" s="112"/>
      <c r="L16" s="113">
        <f>SUM(F16:F16)+SUM(H16:H16)+SUM(I16:I16)+SUM(J16:J16)+SUM(K16:K16)</f>
        <v>6270</v>
      </c>
      <c r="M16" s="102"/>
      <c r="N16" s="103">
        <v>0</v>
      </c>
      <c r="O16" s="104"/>
      <c r="P16" s="115">
        <v>200</v>
      </c>
      <c r="Q16" s="107">
        <v>28</v>
      </c>
    </row>
    <row r="17" spans="1:17" s="106" customFormat="1" ht="21" customHeight="1" thickBot="1" x14ac:dyDescent="0.2">
      <c r="A17" s="96"/>
      <c r="B17" s="134"/>
      <c r="C17" s="36" t="s">
        <v>7</v>
      </c>
      <c r="D17" s="135"/>
      <c r="E17" s="135"/>
      <c r="F17" s="121">
        <f>SUM(F11:F16)</f>
        <v>3000</v>
      </c>
      <c r="G17" s="136"/>
      <c r="H17" s="121">
        <f>SUM(H11:H16)</f>
        <v>3000</v>
      </c>
      <c r="I17" s="121">
        <f>SUM(I11:I16)</f>
        <v>420</v>
      </c>
      <c r="J17" s="121">
        <f>SUM(J11:J16)</f>
        <v>1200</v>
      </c>
      <c r="K17" s="121">
        <f>SUM(K11:K16)</f>
        <v>0</v>
      </c>
      <c r="L17" s="137">
        <f>SUM(L11,L12,L13,L14,L15,L16)</f>
        <v>7620</v>
      </c>
      <c r="M17" s="130"/>
      <c r="N17" s="131">
        <f>SUM(N11:N16)</f>
        <v>0</v>
      </c>
      <c r="O17" s="104"/>
      <c r="P17" s="138">
        <f>SUM(P11,P12,P13,P14,P15,P16)</f>
        <v>1200</v>
      </c>
      <c r="Q17" s="107">
        <v>30</v>
      </c>
    </row>
    <row r="18" spans="1:17" s="139" customFormat="1" ht="18" customHeight="1" thickTop="1" thickBot="1" x14ac:dyDescent="0.2">
      <c r="B18" s="140" t="s">
        <v>21</v>
      </c>
      <c r="C18" s="141"/>
      <c r="D18" s="142"/>
      <c r="E18" s="142"/>
      <c r="F18" s="143">
        <f>F10+F17</f>
        <v>3040</v>
      </c>
      <c r="G18" s="144"/>
      <c r="H18" s="143">
        <f>H10+H17</f>
        <v>4800</v>
      </c>
      <c r="I18" s="145">
        <f>I10+I17</f>
        <v>1520</v>
      </c>
      <c r="J18" s="145">
        <f>J10+J17</f>
        <v>2400</v>
      </c>
      <c r="K18" s="145">
        <f>K10+K17</f>
        <v>0</v>
      </c>
      <c r="L18" s="146">
        <f>L10+L17</f>
        <v>11760</v>
      </c>
      <c r="M18" s="147"/>
      <c r="N18" s="148">
        <f>N10+N17</f>
        <v>0</v>
      </c>
      <c r="O18" s="149"/>
      <c r="P18" s="150">
        <f>SUM(P10,P17)</f>
        <v>2400</v>
      </c>
      <c r="Q18" s="151">
        <v>32</v>
      </c>
    </row>
    <row r="19" spans="1:17" s="7" customFormat="1" ht="15" thickTop="1" x14ac:dyDescent="0.15">
      <c r="A19" s="34"/>
      <c r="B19" s="37"/>
      <c r="C19" s="38"/>
      <c r="D19" s="12"/>
      <c r="E19" s="12"/>
      <c r="F19" s="8"/>
      <c r="G19" s="10"/>
      <c r="H19" s="8"/>
      <c r="I19" s="15"/>
      <c r="J19" s="8"/>
      <c r="K19" s="8"/>
      <c r="L19" s="22"/>
      <c r="M19" s="8"/>
      <c r="N19" s="11" t="s">
        <v>8</v>
      </c>
      <c r="O19" s="23"/>
      <c r="P19" s="24"/>
    </row>
    <row r="20" spans="1:17" s="48" customFormat="1" ht="15" customHeight="1" thickBot="1" x14ac:dyDescent="0.2">
      <c r="B20" s="49" t="s">
        <v>17</v>
      </c>
      <c r="C20" s="50"/>
      <c r="D20" s="50"/>
      <c r="E20" s="51"/>
      <c r="F20" s="52"/>
      <c r="G20" s="51"/>
      <c r="H20" s="53"/>
      <c r="J20" s="54"/>
      <c r="K20" s="55"/>
      <c r="L20" s="55"/>
      <c r="M20" s="56"/>
      <c r="N20" s="56"/>
      <c r="O20" s="55"/>
      <c r="P20" s="57"/>
    </row>
    <row r="21" spans="1:17" s="9" customFormat="1" ht="26.25" customHeight="1" thickTop="1" x14ac:dyDescent="0.15">
      <c r="A21" s="39"/>
      <c r="B21" s="83" t="s">
        <v>2</v>
      </c>
      <c r="C21" s="84" t="s">
        <v>3</v>
      </c>
      <c r="D21" s="85" t="s">
        <v>9</v>
      </c>
      <c r="E21" s="86" t="s">
        <v>10</v>
      </c>
      <c r="F21" s="86"/>
      <c r="G21" s="95" t="s">
        <v>11</v>
      </c>
      <c r="H21" s="27"/>
      <c r="I21" s="28"/>
      <c r="K21" s="29"/>
      <c r="L21" s="25"/>
      <c r="M21" s="25"/>
      <c r="N21" s="25" t="s">
        <v>12</v>
      </c>
      <c r="O21" s="5"/>
    </row>
    <row r="22" spans="1:17" ht="15.75" customHeight="1" x14ac:dyDescent="0.15">
      <c r="A22" s="40"/>
      <c r="B22" s="67">
        <v>2025</v>
      </c>
      <c r="C22" s="68">
        <v>4</v>
      </c>
      <c r="D22" s="155" t="s">
        <v>37</v>
      </c>
      <c r="E22" s="70" t="s">
        <v>13</v>
      </c>
      <c r="F22" s="70"/>
      <c r="G22" s="71">
        <v>500</v>
      </c>
      <c r="H22" s="11"/>
      <c r="I22" s="30"/>
      <c r="J22" s="31"/>
      <c r="K22" s="11"/>
      <c r="L22" s="21"/>
      <c r="M22" s="21"/>
      <c r="N22" s="21"/>
      <c r="O22" s="5"/>
    </row>
    <row r="23" spans="1:17" ht="15.75" customHeight="1" x14ac:dyDescent="0.15">
      <c r="A23" s="40"/>
      <c r="B23" s="67">
        <v>2025</v>
      </c>
      <c r="C23" s="68">
        <v>5</v>
      </c>
      <c r="D23" s="155" t="s">
        <v>38</v>
      </c>
      <c r="E23" s="70" t="s">
        <v>13</v>
      </c>
      <c r="F23" s="70"/>
      <c r="G23" s="71">
        <v>400</v>
      </c>
      <c r="H23" s="11"/>
      <c r="I23" s="30"/>
      <c r="J23" s="31"/>
      <c r="K23" s="11"/>
      <c r="L23" s="21"/>
      <c r="M23" s="21"/>
      <c r="N23" s="21"/>
      <c r="O23" s="5"/>
    </row>
    <row r="24" spans="1:17" ht="15.75" customHeight="1" x14ac:dyDescent="0.15">
      <c r="A24" s="40"/>
      <c r="B24" s="67">
        <v>2025</v>
      </c>
      <c r="C24" s="68">
        <v>6</v>
      </c>
      <c r="D24" s="155" t="s">
        <v>39</v>
      </c>
      <c r="E24" s="70" t="s">
        <v>13</v>
      </c>
      <c r="F24" s="70"/>
      <c r="G24" s="71">
        <v>600</v>
      </c>
      <c r="H24" s="11"/>
      <c r="I24" s="30"/>
      <c r="J24" s="31"/>
      <c r="K24" s="11"/>
      <c r="L24" s="21"/>
      <c r="M24" s="21"/>
      <c r="N24" s="21"/>
      <c r="O24" s="5"/>
    </row>
    <row r="25" spans="1:17" ht="15.75" customHeight="1" x14ac:dyDescent="0.15">
      <c r="A25" s="40"/>
      <c r="B25" s="67">
        <v>2025</v>
      </c>
      <c r="C25" s="68">
        <v>7</v>
      </c>
      <c r="D25" s="155" t="s">
        <v>40</v>
      </c>
      <c r="E25" s="70" t="s">
        <v>13</v>
      </c>
      <c r="F25" s="70"/>
      <c r="G25" s="71">
        <v>700</v>
      </c>
      <c r="H25" s="11"/>
      <c r="I25" s="30"/>
      <c r="J25" s="31"/>
      <c r="K25" s="11"/>
      <c r="L25" s="21"/>
      <c r="M25" s="21"/>
      <c r="N25" s="21"/>
      <c r="O25" s="5"/>
    </row>
    <row r="26" spans="1:17" ht="15.95" customHeight="1" x14ac:dyDescent="0.15">
      <c r="A26" s="40"/>
      <c r="B26" s="67">
        <v>2025</v>
      </c>
      <c r="C26" s="68">
        <v>8</v>
      </c>
      <c r="D26" s="155" t="s">
        <v>41</v>
      </c>
      <c r="E26" s="70" t="s">
        <v>13</v>
      </c>
      <c r="F26" s="70"/>
      <c r="G26" s="71">
        <v>3000</v>
      </c>
      <c r="H26" s="11"/>
      <c r="I26" s="30"/>
      <c r="J26" s="11"/>
      <c r="K26" s="11"/>
      <c r="L26" s="21"/>
      <c r="M26" s="21"/>
      <c r="N26" s="21"/>
      <c r="O26" s="5"/>
    </row>
    <row r="27" spans="1:17" ht="15.95" customHeight="1" x14ac:dyDescent="0.15">
      <c r="A27" s="40"/>
      <c r="B27" s="72">
        <v>2026</v>
      </c>
      <c r="C27" s="68">
        <v>1</v>
      </c>
      <c r="D27" s="155" t="s">
        <v>42</v>
      </c>
      <c r="E27" s="70" t="s">
        <v>13</v>
      </c>
      <c r="F27" s="70"/>
      <c r="G27" s="71">
        <v>200</v>
      </c>
      <c r="H27" s="11"/>
      <c r="I27" s="30"/>
      <c r="J27" s="11"/>
      <c r="K27" s="11"/>
      <c r="L27" s="21"/>
      <c r="M27" s="21"/>
      <c r="N27" s="21"/>
      <c r="O27" s="5"/>
    </row>
    <row r="28" spans="1:17" ht="15.95" customHeight="1" x14ac:dyDescent="0.15">
      <c r="A28" s="40"/>
      <c r="B28" s="72">
        <v>2026</v>
      </c>
      <c r="C28" s="68">
        <v>2</v>
      </c>
      <c r="D28" s="155" t="s">
        <v>43</v>
      </c>
      <c r="E28" s="70" t="s">
        <v>18</v>
      </c>
      <c r="F28" s="70"/>
      <c r="G28" s="71"/>
      <c r="H28" s="11"/>
      <c r="I28" s="30"/>
      <c r="J28" s="11"/>
      <c r="K28" s="11"/>
      <c r="L28" s="21"/>
      <c r="M28" s="21"/>
      <c r="N28" s="21"/>
      <c r="O28" s="5"/>
    </row>
    <row r="29" spans="1:17" ht="15.95" customHeight="1" x14ac:dyDescent="0.15">
      <c r="A29" s="40"/>
      <c r="B29" s="72">
        <v>2026</v>
      </c>
      <c r="C29" s="68">
        <v>3</v>
      </c>
      <c r="D29" s="155" t="s">
        <v>44</v>
      </c>
      <c r="E29" s="70" t="s">
        <v>18</v>
      </c>
      <c r="F29" s="70"/>
      <c r="G29" s="73"/>
      <c r="H29" s="11"/>
      <c r="I29" s="30"/>
      <c r="J29" s="11"/>
      <c r="K29" s="11"/>
      <c r="L29" s="21"/>
      <c r="M29" s="21"/>
      <c r="N29" s="21"/>
      <c r="O29" s="5"/>
    </row>
    <row r="30" spans="1:17" ht="15.95" hidden="1" customHeight="1" x14ac:dyDescent="0.15">
      <c r="A30" s="40"/>
      <c r="B30" s="74"/>
      <c r="C30" s="68"/>
      <c r="D30" s="69" t="s">
        <v>45</v>
      </c>
      <c r="E30" s="70"/>
      <c r="F30" s="70"/>
      <c r="G30" s="73"/>
      <c r="H30" s="11"/>
      <c r="I30" s="30"/>
      <c r="J30" s="11"/>
      <c r="K30" s="11"/>
      <c r="L30" s="21"/>
      <c r="M30" s="14"/>
      <c r="N30" s="14"/>
      <c r="O30" s="5"/>
    </row>
    <row r="31" spans="1:17" ht="15.95" hidden="1" customHeight="1" thickBot="1" x14ac:dyDescent="0.15">
      <c r="A31" s="40"/>
      <c r="B31" s="74"/>
      <c r="C31" s="68"/>
      <c r="D31" s="69" t="s">
        <v>46</v>
      </c>
      <c r="E31" s="70"/>
      <c r="F31" s="70"/>
      <c r="G31" s="73"/>
      <c r="H31" s="11"/>
      <c r="I31" s="30"/>
      <c r="J31" s="11"/>
      <c r="K31" s="11"/>
      <c r="L31" s="21"/>
      <c r="O31" s="5"/>
    </row>
    <row r="32" spans="1:17" ht="15.95" hidden="1" customHeight="1" thickBot="1" x14ac:dyDescent="0.15">
      <c r="A32" s="40"/>
      <c r="B32" s="74"/>
      <c r="C32" s="68"/>
      <c r="D32" s="69" t="s">
        <v>47</v>
      </c>
      <c r="E32" s="70"/>
      <c r="F32" s="70"/>
      <c r="G32" s="73"/>
      <c r="H32" s="11"/>
      <c r="I32" s="30"/>
      <c r="J32" s="11"/>
      <c r="K32" s="11"/>
      <c r="L32" s="21"/>
      <c r="M32" s="26"/>
      <c r="N32" s="26"/>
      <c r="O32" s="5"/>
    </row>
    <row r="33" spans="1:15" ht="15.95" hidden="1" customHeight="1" thickBot="1" x14ac:dyDescent="0.15">
      <c r="A33" s="40"/>
      <c r="B33" s="74"/>
      <c r="C33" s="68"/>
      <c r="D33" s="69" t="s">
        <v>48</v>
      </c>
      <c r="E33" s="70"/>
      <c r="F33" s="70"/>
      <c r="G33" s="73"/>
      <c r="H33" s="11"/>
      <c r="I33" s="30"/>
      <c r="J33" s="11"/>
      <c r="K33" s="11"/>
      <c r="L33" s="21"/>
      <c r="M33" s="16"/>
      <c r="N33" s="16"/>
      <c r="O33" s="5"/>
    </row>
    <row r="34" spans="1:15" ht="15.95" customHeight="1" thickBot="1" x14ac:dyDescent="0.2">
      <c r="A34" s="40"/>
      <c r="B34" s="75"/>
      <c r="C34" s="76"/>
      <c r="D34" s="77"/>
      <c r="E34" s="78"/>
      <c r="F34" s="78"/>
      <c r="G34" s="79"/>
      <c r="H34" s="11"/>
      <c r="I34" s="30"/>
      <c r="J34" s="11"/>
      <c r="K34" s="11"/>
      <c r="L34" s="21"/>
      <c r="M34" s="16"/>
      <c r="N34" s="16"/>
      <c r="O34" s="5"/>
    </row>
    <row r="35" spans="1:15" ht="14.25" thickTop="1" x14ac:dyDescent="0.15"/>
  </sheetData>
  <mergeCells count="15">
    <mergeCell ref="K1:L1"/>
    <mergeCell ref="E34:F34"/>
    <mergeCell ref="E21:F21"/>
    <mergeCell ref="E22:F22"/>
    <mergeCell ref="E26:F26"/>
    <mergeCell ref="E27:F27"/>
    <mergeCell ref="E29:F29"/>
    <mergeCell ref="E30:F30"/>
    <mergeCell ref="E31:F31"/>
    <mergeCell ref="E32:F32"/>
    <mergeCell ref="E33:F33"/>
    <mergeCell ref="E23:F23"/>
    <mergeCell ref="E24:F24"/>
    <mergeCell ref="E25:F25"/>
    <mergeCell ref="E28:F28"/>
  </mergeCells>
  <phoneticPr fontId="1"/>
  <dataValidations count="3">
    <dataValidation type="list" showInputMessage="1" showErrorMessage="1" sqref="M30:N30 E4:E9 E11:E16" xr:uid="{FC2C100D-D195-4BEB-87F6-A17CEC3F545B}">
      <formula1>#REF!</formula1>
    </dataValidation>
    <dataValidation type="list" allowBlank="1" showInputMessage="1" showErrorMessage="1" sqref="E22:F34" xr:uid="{6BF451CB-A91B-44FA-94F8-56E3D40EFCB7}">
      <formula1>"取得,除却,　　"</formula1>
    </dataValidation>
    <dataValidation type="list" showInputMessage="1" showErrorMessage="1" sqref="L22:L34 M22:N29" xr:uid="{6B4D7322-437D-4FEC-B618-532E5D1A5757}">
      <formula1>"期中取得,起業,　　"</formula1>
    </dataValidation>
  </dataValidations>
  <pageMargins left="0.11811023622047245" right="0" top="0.39370078740157483" bottom="0" header="0.19685039370078741" footer="0"/>
  <pageSetup paperSize="9" scale="85" orientation="portrait" copies="5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5B11-32C7-4B95-A12B-2EE76E211FE9}">
  <sheetPr>
    <tabColor rgb="FFFF99FF"/>
    <pageSetUpPr fitToPage="1"/>
  </sheetPr>
  <dimension ref="A1:Q35"/>
  <sheetViews>
    <sheetView showGridLines="0" tabSelected="1" zoomScaleNormal="100" workbookViewId="0">
      <selection activeCell="S26" sqref="S26"/>
    </sheetView>
  </sheetViews>
  <sheetFormatPr defaultColWidth="9" defaultRowHeight="13.5" x14ac:dyDescent="0.15"/>
  <cols>
    <col min="1" max="1" width="2.625" style="32" customWidth="1"/>
    <col min="2" max="2" width="5" style="32" customWidth="1"/>
    <col min="3" max="3" width="4.125" style="32" customWidth="1"/>
    <col min="4" max="4" width="15.125" style="1" customWidth="1"/>
    <col min="5" max="5" width="4.625" style="1" customWidth="1"/>
    <col min="6" max="6" width="8.625" style="2" customWidth="1"/>
    <col min="7" max="7" width="8.625" style="1" customWidth="1"/>
    <col min="8" max="8" width="8.625" style="13" customWidth="1"/>
    <col min="9" max="9" width="10.125" style="1" customWidth="1"/>
    <col min="10" max="10" width="10.125" style="2" customWidth="1"/>
    <col min="11" max="11" width="4.125" style="2" customWidth="1"/>
    <col min="12" max="12" width="12.375" style="1" customWidth="1"/>
    <col min="13" max="13" width="0.625" style="1" customWidth="1"/>
    <col min="14" max="14" width="11.125" style="1" hidden="1" customWidth="1"/>
    <col min="15" max="15" width="3" style="1" customWidth="1"/>
    <col min="16" max="16" width="14.125" style="1" customWidth="1"/>
    <col min="17" max="16384" width="9" style="1"/>
  </cols>
  <sheetData>
    <row r="1" spans="1:17" ht="20.25" customHeight="1" thickTop="1" thickBot="1" x14ac:dyDescent="0.25">
      <c r="D1" s="3" t="s">
        <v>14</v>
      </c>
      <c r="E1" s="3"/>
      <c r="F1" s="4"/>
      <c r="J1" s="58" t="s">
        <v>15</v>
      </c>
      <c r="K1" s="60">
        <v>45992</v>
      </c>
      <c r="L1" s="60"/>
      <c r="M1" s="17"/>
      <c r="N1" s="18" t="s">
        <v>0</v>
      </c>
      <c r="O1" s="19"/>
      <c r="P1" s="20"/>
    </row>
    <row r="2" spans="1:17" s="41" customFormat="1" ht="20.100000000000001" customHeight="1" thickTop="1" thickBot="1" x14ac:dyDescent="0.2">
      <c r="B2" s="61" t="s">
        <v>16</v>
      </c>
      <c r="C2" s="62"/>
      <c r="D2" s="62"/>
      <c r="E2" s="61"/>
      <c r="F2" s="63" t="s">
        <v>23</v>
      </c>
      <c r="G2" s="42"/>
      <c r="H2" s="59" t="s">
        <v>22</v>
      </c>
      <c r="J2" s="43"/>
      <c r="K2" s="44"/>
      <c r="L2" s="45" t="s">
        <v>19</v>
      </c>
      <c r="M2" s="46"/>
      <c r="N2" s="46" t="s">
        <v>1</v>
      </c>
      <c r="O2" s="47"/>
      <c r="P2" s="45" t="s">
        <v>20</v>
      </c>
      <c r="Q2" s="154" t="s">
        <v>24</v>
      </c>
    </row>
    <row r="3" spans="1:17" s="6" customFormat="1" ht="24" customHeight="1" thickTop="1" thickBot="1" x14ac:dyDescent="0.2">
      <c r="A3" s="33"/>
      <c r="B3" s="87" t="s">
        <v>2</v>
      </c>
      <c r="C3" s="66" t="s">
        <v>3</v>
      </c>
      <c r="D3" s="88"/>
      <c r="E3" s="89"/>
      <c r="F3" s="89" t="s">
        <v>24</v>
      </c>
      <c r="G3" s="89"/>
      <c r="H3" s="89" t="s">
        <v>24</v>
      </c>
      <c r="I3" s="89"/>
      <c r="J3" s="89"/>
      <c r="K3" s="89"/>
      <c r="L3" s="90" t="s">
        <v>4</v>
      </c>
      <c r="M3" s="91"/>
      <c r="N3" s="92" t="s">
        <v>5</v>
      </c>
      <c r="O3" s="93"/>
      <c r="P3" s="94" t="s">
        <v>4</v>
      </c>
      <c r="Q3" s="6">
        <v>1</v>
      </c>
    </row>
    <row r="4" spans="1:17" s="106" customFormat="1" ht="16.5" customHeight="1" thickTop="1" x14ac:dyDescent="0.15">
      <c r="A4" s="96"/>
      <c r="B4" s="65"/>
      <c r="C4" s="35">
        <v>4</v>
      </c>
      <c r="D4" s="97"/>
      <c r="E4" s="98"/>
      <c r="F4" s="99">
        <v>100</v>
      </c>
      <c r="G4" s="97"/>
      <c r="H4" s="99"/>
      <c r="I4" s="100">
        <v>70</v>
      </c>
      <c r="J4" s="99">
        <v>200</v>
      </c>
      <c r="K4" s="100"/>
      <c r="L4" s="101">
        <f>SUM(F4:F4)+SUM(H4:H4)+SUM(I4:I4)+SUM(J4:J4)+SUM(K4:K4)</f>
        <v>370</v>
      </c>
      <c r="M4" s="102"/>
      <c r="N4" s="103"/>
      <c r="O4" s="104"/>
      <c r="P4" s="105">
        <v>200</v>
      </c>
      <c r="Q4" s="107">
        <v>3</v>
      </c>
    </row>
    <row r="5" spans="1:17" s="106" customFormat="1" ht="16.5" customHeight="1" x14ac:dyDescent="0.15">
      <c r="A5" s="96"/>
      <c r="B5" s="108"/>
      <c r="C5" s="64">
        <v>5</v>
      </c>
      <c r="D5" s="109"/>
      <c r="E5" s="110"/>
      <c r="F5" s="111">
        <v>200</v>
      </c>
      <c r="G5" s="109"/>
      <c r="H5" s="111"/>
      <c r="I5" s="112">
        <v>750</v>
      </c>
      <c r="J5" s="111">
        <v>200</v>
      </c>
      <c r="K5" s="112"/>
      <c r="L5" s="113">
        <f>SUM(F5:F5)+SUM(H5:H5)+SUM(I5:I5)+SUM(J5:J5)+SUM(K5:K5)</f>
        <v>1150</v>
      </c>
      <c r="M5" s="102"/>
      <c r="N5" s="114"/>
      <c r="O5" s="104"/>
      <c r="P5" s="115" ph="1">
        <v>200</v>
      </c>
      <c r="Q5" s="107">
        <v>5</v>
      </c>
    </row>
    <row r="6" spans="1:17" s="106" customFormat="1" ht="16.5" customHeight="1" x14ac:dyDescent="0.15">
      <c r="A6" s="96"/>
      <c r="B6" s="108"/>
      <c r="C6" s="64">
        <v>6</v>
      </c>
      <c r="D6" s="109"/>
      <c r="E6" s="110"/>
      <c r="F6" s="111">
        <v>600</v>
      </c>
      <c r="G6" s="109"/>
      <c r="H6" s="111">
        <v>400</v>
      </c>
      <c r="I6" s="112">
        <v>70</v>
      </c>
      <c r="J6" s="111">
        <v>200</v>
      </c>
      <c r="K6" s="112"/>
      <c r="L6" s="113">
        <f>SUM(F6:F6)+SUM(H6:H6)+SUM(I6:I6)+SUM(J6:J6)+SUM(K6:K6)</f>
        <v>1270</v>
      </c>
      <c r="M6" s="102"/>
      <c r="N6" s="103"/>
      <c r="O6" s="104"/>
      <c r="P6" s="115" ph="1">
        <v>200</v>
      </c>
      <c r="Q6" s="107">
        <v>8</v>
      </c>
    </row>
    <row r="7" spans="1:17" s="106" customFormat="1" ht="16.5" customHeight="1" x14ac:dyDescent="0.15">
      <c r="A7" s="96"/>
      <c r="B7" s="108"/>
      <c r="C7" s="64">
        <v>7</v>
      </c>
      <c r="D7" s="109"/>
      <c r="E7" s="110"/>
      <c r="F7" s="111">
        <v>900</v>
      </c>
      <c r="G7" s="109"/>
      <c r="H7" s="111">
        <v>1100</v>
      </c>
      <c r="I7" s="112">
        <v>70</v>
      </c>
      <c r="J7" s="111">
        <v>200</v>
      </c>
      <c r="K7" s="112"/>
      <c r="L7" s="113">
        <f>SUM(F7:F7)+SUM(H7:H7)+SUM(I7:I7)+SUM(J7:J7)+SUM(K7:K7)</f>
        <v>2270</v>
      </c>
      <c r="M7" s="102"/>
      <c r="N7" s="103"/>
      <c r="O7" s="104"/>
      <c r="P7" s="115">
        <v>200</v>
      </c>
      <c r="Q7" s="107">
        <v>10</v>
      </c>
    </row>
    <row r="8" spans="1:17" s="106" customFormat="1" ht="16.5" customHeight="1" x14ac:dyDescent="0.15">
      <c r="A8" s="96"/>
      <c r="B8" s="108"/>
      <c r="C8" s="64">
        <v>8</v>
      </c>
      <c r="D8" s="109"/>
      <c r="E8" s="110"/>
      <c r="F8" s="111">
        <v>1000</v>
      </c>
      <c r="G8" s="109"/>
      <c r="H8" s="111"/>
      <c r="I8" s="112">
        <v>70</v>
      </c>
      <c r="J8" s="111">
        <v>200</v>
      </c>
      <c r="K8" s="112"/>
      <c r="L8" s="113">
        <f>SUM(F8:F8)+SUM(H8:H8)+SUM(I8:I8)+SUM(J8:J8)+SUM(K8:K8)</f>
        <v>1270</v>
      </c>
      <c r="M8" s="102"/>
      <c r="N8" s="116"/>
      <c r="O8" s="104"/>
      <c r="P8" s="115">
        <v>200</v>
      </c>
      <c r="Q8" s="107">
        <v>12</v>
      </c>
    </row>
    <row r="9" spans="1:17" s="106" customFormat="1" ht="16.5" customHeight="1" thickBot="1" x14ac:dyDescent="0.2">
      <c r="A9" s="96"/>
      <c r="B9" s="117"/>
      <c r="C9" s="36">
        <v>9</v>
      </c>
      <c r="D9" s="118"/>
      <c r="E9" s="119"/>
      <c r="F9" s="120">
        <v>1200</v>
      </c>
      <c r="G9" s="118"/>
      <c r="H9" s="120">
        <v>300</v>
      </c>
      <c r="I9" s="121">
        <v>70</v>
      </c>
      <c r="J9" s="120">
        <v>200</v>
      </c>
      <c r="K9" s="121"/>
      <c r="L9" s="122">
        <f>SUM(F9:F9)+SUM(H9:H9)+SUM(I9:I9)+SUM(J9:J9)+SUM(K9:K9)</f>
        <v>1770</v>
      </c>
      <c r="M9" s="102"/>
      <c r="N9" s="103"/>
      <c r="O9" s="104"/>
      <c r="P9" s="123">
        <v>200</v>
      </c>
      <c r="Q9" s="107">
        <v>14</v>
      </c>
    </row>
    <row r="10" spans="1:17" s="106" customFormat="1" ht="20.25" customHeight="1" thickTop="1" thickBot="1" x14ac:dyDescent="0.2">
      <c r="A10" s="96"/>
      <c r="B10" s="124"/>
      <c r="C10" s="125" t="s">
        <v>6</v>
      </c>
      <c r="D10" s="126"/>
      <c r="E10" s="126"/>
      <c r="F10" s="127">
        <f>SUM(F4:F9)</f>
        <v>4000</v>
      </c>
      <c r="G10" s="128"/>
      <c r="H10" s="127">
        <f>SUM(H4:H9)</f>
        <v>1800</v>
      </c>
      <c r="I10" s="127">
        <f>SUM(I4:I9)</f>
        <v>1100</v>
      </c>
      <c r="J10" s="127">
        <f>SUM(J4:J9)</f>
        <v>1200</v>
      </c>
      <c r="K10" s="127">
        <f>SUM(K4:K9)</f>
        <v>0</v>
      </c>
      <c r="L10" s="129">
        <f>SUM(L4,L5,L6,L7,L8,L9)</f>
        <v>8100</v>
      </c>
      <c r="M10" s="130"/>
      <c r="N10" s="131">
        <f>SUM(N4:N9)</f>
        <v>0</v>
      </c>
      <c r="O10" s="104"/>
      <c r="P10" s="132">
        <f>SUM(P4,P5,P6,P7,P8,P9)</f>
        <v>1200</v>
      </c>
      <c r="Q10" s="107">
        <v>16</v>
      </c>
    </row>
    <row r="11" spans="1:17" s="106" customFormat="1" ht="16.5" customHeight="1" thickTop="1" x14ac:dyDescent="0.15">
      <c r="A11" s="96"/>
      <c r="B11" s="133"/>
      <c r="C11" s="35">
        <v>10</v>
      </c>
      <c r="D11" s="97"/>
      <c r="E11" s="98"/>
      <c r="F11" s="99">
        <v>10</v>
      </c>
      <c r="G11" s="97"/>
      <c r="H11" s="99"/>
      <c r="I11" s="100">
        <v>70</v>
      </c>
      <c r="J11" s="99">
        <v>200</v>
      </c>
      <c r="K11" s="100"/>
      <c r="L11" s="101">
        <f>SUM(F11:F11)+SUM(H11:H11)+SUM(I11:I11)+SUM(J11:J11)+SUM(K11:K11)</f>
        <v>280</v>
      </c>
      <c r="M11" s="102"/>
      <c r="N11" s="103">
        <v>0</v>
      </c>
      <c r="O11" s="104"/>
      <c r="P11" s="105">
        <v>200</v>
      </c>
      <c r="Q11" s="107">
        <v>18</v>
      </c>
    </row>
    <row r="12" spans="1:17" s="106" customFormat="1" ht="16.5" customHeight="1" x14ac:dyDescent="0.15">
      <c r="A12" s="96"/>
      <c r="B12" s="108"/>
      <c r="C12" s="64">
        <v>11</v>
      </c>
      <c r="D12" s="109"/>
      <c r="E12" s="110"/>
      <c r="F12" s="111">
        <v>20</v>
      </c>
      <c r="G12" s="109"/>
      <c r="H12" s="111"/>
      <c r="I12" s="112">
        <v>70</v>
      </c>
      <c r="J12" s="111">
        <v>200</v>
      </c>
      <c r="K12" s="112"/>
      <c r="L12" s="113">
        <f>SUM(F12:F12)+SUM(H12:H12)+SUM(I12:I12)+SUM(J12:J12)+SUM(K12:K12)</f>
        <v>290</v>
      </c>
      <c r="M12" s="102"/>
      <c r="N12" s="103">
        <v>0</v>
      </c>
      <c r="O12" s="104"/>
      <c r="P12" s="115" ph="1">
        <v>200</v>
      </c>
      <c r="Q12" s="107">
        <v>20</v>
      </c>
    </row>
    <row r="13" spans="1:17" s="106" customFormat="1" ht="16.5" customHeight="1" x14ac:dyDescent="0.15">
      <c r="A13" s="96"/>
      <c r="B13" s="108"/>
      <c r="C13" s="64">
        <v>12</v>
      </c>
      <c r="D13" s="109"/>
      <c r="E13" s="110"/>
      <c r="F13" s="111">
        <v>30</v>
      </c>
      <c r="G13" s="109"/>
      <c r="H13" s="111"/>
      <c r="I13" s="112">
        <v>70</v>
      </c>
      <c r="J13" s="111">
        <v>200</v>
      </c>
      <c r="K13" s="112"/>
      <c r="L13" s="113">
        <f>SUM(F13:F13)+SUM(H13:H13)+SUM(I13:I13)+SUM(J13:J13)+SUM(K13:K13)</f>
        <v>300</v>
      </c>
      <c r="M13" s="102"/>
      <c r="N13" s="103">
        <v>0</v>
      </c>
      <c r="O13" s="104"/>
      <c r="P13" s="115" ph="1">
        <v>200</v>
      </c>
      <c r="Q13" s="107">
        <v>22</v>
      </c>
    </row>
    <row r="14" spans="1:17" s="106" customFormat="1" ht="16.5" customHeight="1" x14ac:dyDescent="0.15">
      <c r="A14" s="96"/>
      <c r="B14" s="108"/>
      <c r="C14" s="64">
        <v>1</v>
      </c>
      <c r="D14" s="109"/>
      <c r="E14" s="110"/>
      <c r="F14" s="111">
        <v>40</v>
      </c>
      <c r="G14" s="109"/>
      <c r="H14" s="111"/>
      <c r="I14" s="112">
        <v>70</v>
      </c>
      <c r="J14" s="111">
        <v>200</v>
      </c>
      <c r="K14" s="112"/>
      <c r="L14" s="113">
        <f>SUM(F14:F14)+SUM(H14:H14)+SUM(I14:I14)+SUM(J14:J14)+SUM(K14:K14)</f>
        <v>310</v>
      </c>
      <c r="M14" s="102"/>
      <c r="N14" s="103">
        <v>0</v>
      </c>
      <c r="O14" s="104"/>
      <c r="P14" s="115">
        <v>200</v>
      </c>
      <c r="Q14" s="107">
        <v>24</v>
      </c>
    </row>
    <row r="15" spans="1:17" s="106" customFormat="1" ht="16.5" customHeight="1" x14ac:dyDescent="0.15">
      <c r="A15" s="96"/>
      <c r="B15" s="108"/>
      <c r="C15" s="64">
        <v>2</v>
      </c>
      <c r="D15" s="109"/>
      <c r="E15" s="110"/>
      <c r="F15" s="111">
        <v>50</v>
      </c>
      <c r="G15" s="109"/>
      <c r="H15" s="111"/>
      <c r="I15" s="112">
        <v>70</v>
      </c>
      <c r="J15" s="111">
        <v>200</v>
      </c>
      <c r="K15" s="112"/>
      <c r="L15" s="113">
        <f>SUM(F15:F15)+SUM(H15:H15)+SUM(I15:I15)+SUM(J15:J15)+SUM(K15:K15)</f>
        <v>320</v>
      </c>
      <c r="M15" s="102"/>
      <c r="N15" s="103">
        <v>0</v>
      </c>
      <c r="O15" s="104"/>
      <c r="P15" s="115">
        <v>200</v>
      </c>
      <c r="Q15" s="107">
        <v>26</v>
      </c>
    </row>
    <row r="16" spans="1:17" s="106" customFormat="1" ht="16.5" customHeight="1" x14ac:dyDescent="0.15">
      <c r="A16" s="96"/>
      <c r="B16" s="108"/>
      <c r="C16" s="64">
        <v>3</v>
      </c>
      <c r="D16" s="109"/>
      <c r="E16" s="110"/>
      <c r="F16" s="111">
        <v>3000</v>
      </c>
      <c r="G16" s="109"/>
      <c r="H16" s="111">
        <v>3000</v>
      </c>
      <c r="I16" s="112">
        <v>70</v>
      </c>
      <c r="J16" s="111">
        <v>200</v>
      </c>
      <c r="K16" s="112"/>
      <c r="L16" s="113">
        <f>SUM(F16:F16)+SUM(H16:H16)+SUM(I16:I16)+SUM(J16:J16)+SUM(K16:K16)</f>
        <v>6270</v>
      </c>
      <c r="M16" s="102"/>
      <c r="N16" s="103">
        <v>0</v>
      </c>
      <c r="O16" s="104"/>
      <c r="P16" s="115">
        <v>200</v>
      </c>
      <c r="Q16" s="107">
        <v>28</v>
      </c>
    </row>
    <row r="17" spans="1:17" s="106" customFormat="1" ht="21" customHeight="1" thickBot="1" x14ac:dyDescent="0.2">
      <c r="A17" s="96"/>
      <c r="B17" s="134"/>
      <c r="C17" s="36" t="s">
        <v>7</v>
      </c>
      <c r="D17" s="135"/>
      <c r="E17" s="135"/>
      <c r="F17" s="121">
        <f>SUM(F11:F16)</f>
        <v>3150</v>
      </c>
      <c r="G17" s="136"/>
      <c r="H17" s="121">
        <f>SUM(H11:H16)</f>
        <v>3000</v>
      </c>
      <c r="I17" s="121">
        <f>SUM(I11:I16)</f>
        <v>420</v>
      </c>
      <c r="J17" s="121">
        <f>SUM(J11:J16)</f>
        <v>1200</v>
      </c>
      <c r="K17" s="121">
        <f>SUM(K11:K16)</f>
        <v>0</v>
      </c>
      <c r="L17" s="137">
        <f>SUM(L11,L12,L13,L14,L15,L16)</f>
        <v>7770</v>
      </c>
      <c r="M17" s="130"/>
      <c r="N17" s="131">
        <f>SUM(N11:N16)</f>
        <v>0</v>
      </c>
      <c r="O17" s="104"/>
      <c r="P17" s="138">
        <f>SUM(P11,P12,P13,P14,P15,P16)</f>
        <v>1200</v>
      </c>
      <c r="Q17" s="107">
        <v>30</v>
      </c>
    </row>
    <row r="18" spans="1:17" s="139" customFormat="1" ht="18" customHeight="1" thickTop="1" thickBot="1" x14ac:dyDescent="0.2">
      <c r="B18" s="140" t="s">
        <v>21</v>
      </c>
      <c r="C18" s="141"/>
      <c r="D18" s="142"/>
      <c r="E18" s="142"/>
      <c r="F18" s="143">
        <f>F10+F17</f>
        <v>7150</v>
      </c>
      <c r="G18" s="144"/>
      <c r="H18" s="143">
        <f>H10+H17</f>
        <v>4800</v>
      </c>
      <c r="I18" s="145">
        <f>I10+I17</f>
        <v>1520</v>
      </c>
      <c r="J18" s="145">
        <f>J10+J17</f>
        <v>2400</v>
      </c>
      <c r="K18" s="145">
        <f>K10+K17</f>
        <v>0</v>
      </c>
      <c r="L18" s="146">
        <f>L10+L17</f>
        <v>15870</v>
      </c>
      <c r="M18" s="147"/>
      <c r="N18" s="148">
        <f>N10+N17</f>
        <v>0</v>
      </c>
      <c r="O18" s="149"/>
      <c r="P18" s="150">
        <f>SUM(P10,P17)</f>
        <v>2400</v>
      </c>
      <c r="Q18" s="151">
        <v>32</v>
      </c>
    </row>
    <row r="19" spans="1:17" s="7" customFormat="1" ht="15" thickTop="1" x14ac:dyDescent="0.15">
      <c r="A19" s="34"/>
      <c r="B19" s="37"/>
      <c r="C19" s="38"/>
      <c r="D19" s="12"/>
      <c r="E19" s="12"/>
      <c r="F19" s="8"/>
      <c r="G19" s="10"/>
      <c r="H19" s="8"/>
      <c r="I19" s="15"/>
      <c r="J19" s="8"/>
      <c r="K19" s="8"/>
      <c r="L19" s="22"/>
      <c r="M19" s="8"/>
      <c r="N19" s="11" t="s">
        <v>8</v>
      </c>
      <c r="O19" s="23"/>
      <c r="P19" s="24"/>
    </row>
    <row r="20" spans="1:17" s="48" customFormat="1" ht="15" customHeight="1" thickBot="1" x14ac:dyDescent="0.2">
      <c r="B20" s="49" t="s">
        <v>17</v>
      </c>
      <c r="C20" s="50"/>
      <c r="D20" s="50"/>
      <c r="E20" s="51"/>
      <c r="F20" s="52"/>
      <c r="G20" s="51"/>
      <c r="H20" s="53"/>
      <c r="J20" s="54"/>
      <c r="K20" s="55"/>
      <c r="L20" s="55"/>
      <c r="M20" s="56"/>
      <c r="N20" s="56"/>
      <c r="O20" s="55"/>
      <c r="P20" s="57"/>
    </row>
    <row r="21" spans="1:17" s="9" customFormat="1" ht="27" customHeight="1" thickTop="1" x14ac:dyDescent="0.15">
      <c r="A21" s="39"/>
      <c r="B21" s="83" t="s">
        <v>2</v>
      </c>
      <c r="C21" s="84" t="s">
        <v>3</v>
      </c>
      <c r="D21" s="85" t="s">
        <v>9</v>
      </c>
      <c r="E21" s="86" t="s">
        <v>10</v>
      </c>
      <c r="F21" s="86"/>
      <c r="G21" s="82" t="s">
        <v>11</v>
      </c>
      <c r="H21" s="27"/>
      <c r="I21" s="28"/>
      <c r="K21" s="29"/>
      <c r="L21" s="152"/>
      <c r="M21" s="25"/>
      <c r="N21" s="25" t="s">
        <v>12</v>
      </c>
      <c r="O21" s="5"/>
    </row>
    <row r="22" spans="1:17" ht="15.75" customHeight="1" x14ac:dyDescent="0.15">
      <c r="A22" s="40"/>
      <c r="B22" s="67">
        <v>2025</v>
      </c>
      <c r="C22" s="68">
        <v>4</v>
      </c>
      <c r="D22" s="155" t="s">
        <v>29</v>
      </c>
      <c r="E22" s="70" t="s">
        <v>13</v>
      </c>
      <c r="F22" s="70"/>
      <c r="G22" s="71">
        <v>500</v>
      </c>
      <c r="H22" s="11"/>
      <c r="I22" s="30"/>
      <c r="J22" s="31"/>
      <c r="K22" s="11"/>
      <c r="L22" s="21"/>
      <c r="M22" s="21"/>
      <c r="N22" s="21"/>
      <c r="O22" s="5"/>
    </row>
    <row r="23" spans="1:17" ht="15.75" customHeight="1" x14ac:dyDescent="0.15">
      <c r="A23" s="40"/>
      <c r="B23" s="67">
        <v>2025</v>
      </c>
      <c r="C23" s="68">
        <v>5</v>
      </c>
      <c r="D23" s="155" t="s">
        <v>30</v>
      </c>
      <c r="E23" s="70" t="s">
        <v>13</v>
      </c>
      <c r="F23" s="70"/>
      <c r="G23" s="71">
        <v>400</v>
      </c>
      <c r="H23" s="11"/>
      <c r="I23" s="30"/>
      <c r="J23" s="31"/>
      <c r="K23" s="11"/>
      <c r="L23" s="21"/>
      <c r="M23" s="21"/>
      <c r="N23" s="21"/>
      <c r="O23" s="5"/>
    </row>
    <row r="24" spans="1:17" ht="15.75" customHeight="1" x14ac:dyDescent="0.15">
      <c r="A24" s="40"/>
      <c r="B24" s="67">
        <v>2025</v>
      </c>
      <c r="C24" s="68">
        <v>6</v>
      </c>
      <c r="D24" s="155" t="s">
        <v>31</v>
      </c>
      <c r="E24" s="70" t="s">
        <v>13</v>
      </c>
      <c r="F24" s="70"/>
      <c r="G24" s="71">
        <v>600</v>
      </c>
      <c r="H24" s="11"/>
      <c r="I24" s="30"/>
      <c r="J24" s="31"/>
      <c r="K24" s="11"/>
      <c r="L24" s="21"/>
      <c r="M24" s="21"/>
      <c r="N24" s="21"/>
      <c r="O24" s="5"/>
    </row>
    <row r="25" spans="1:17" ht="15.75" customHeight="1" x14ac:dyDescent="0.15">
      <c r="A25" s="40"/>
      <c r="B25" s="67">
        <v>2025</v>
      </c>
      <c r="C25" s="68">
        <v>7</v>
      </c>
      <c r="D25" s="155" t="s">
        <v>32</v>
      </c>
      <c r="E25" s="70" t="s">
        <v>13</v>
      </c>
      <c r="F25" s="70"/>
      <c r="G25" s="71">
        <v>700</v>
      </c>
      <c r="H25" s="11"/>
      <c r="I25" s="30"/>
      <c r="J25" s="31"/>
      <c r="K25" s="11"/>
      <c r="L25" s="21"/>
      <c r="M25" s="21"/>
      <c r="N25" s="21"/>
      <c r="O25" s="5"/>
    </row>
    <row r="26" spans="1:17" ht="15.95" customHeight="1" x14ac:dyDescent="0.15">
      <c r="A26" s="40"/>
      <c r="B26" s="67">
        <v>2025</v>
      </c>
      <c r="C26" s="68">
        <v>8</v>
      </c>
      <c r="D26" s="155" t="s">
        <v>33</v>
      </c>
      <c r="E26" s="70" t="s">
        <v>13</v>
      </c>
      <c r="F26" s="70"/>
      <c r="G26" s="71">
        <v>3000</v>
      </c>
      <c r="H26" s="11"/>
      <c r="I26" s="153"/>
      <c r="J26" s="11"/>
      <c r="K26" s="11"/>
      <c r="L26" s="21"/>
      <c r="M26" s="21"/>
      <c r="N26" s="21"/>
      <c r="O26" s="5"/>
    </row>
    <row r="27" spans="1:17" ht="15.95" customHeight="1" x14ac:dyDescent="0.15">
      <c r="A27" s="40"/>
      <c r="B27" s="72">
        <v>2026</v>
      </c>
      <c r="C27" s="68">
        <v>1</v>
      </c>
      <c r="D27" s="155" t="s">
        <v>34</v>
      </c>
      <c r="E27" s="70" t="s">
        <v>13</v>
      </c>
      <c r="F27" s="70"/>
      <c r="G27" s="71">
        <v>200</v>
      </c>
      <c r="H27" s="11"/>
      <c r="I27" s="30"/>
      <c r="J27" s="11"/>
      <c r="K27" s="11"/>
      <c r="L27" s="21"/>
      <c r="M27" s="21"/>
      <c r="N27" s="21"/>
      <c r="O27" s="5"/>
    </row>
    <row r="28" spans="1:17" ht="15.95" customHeight="1" x14ac:dyDescent="0.15">
      <c r="A28" s="40"/>
      <c r="B28" s="72">
        <v>2026</v>
      </c>
      <c r="C28" s="68">
        <v>2</v>
      </c>
      <c r="D28" s="155" t="s">
        <v>35</v>
      </c>
      <c r="E28" s="70" t="s">
        <v>18</v>
      </c>
      <c r="F28" s="70"/>
      <c r="G28" s="71"/>
      <c r="H28" s="11"/>
      <c r="I28" s="30"/>
      <c r="J28" s="11"/>
      <c r="K28" s="11"/>
      <c r="L28" s="21"/>
      <c r="M28" s="21"/>
      <c r="N28" s="21"/>
      <c r="O28" s="5"/>
    </row>
    <row r="29" spans="1:17" ht="15.95" customHeight="1" x14ac:dyDescent="0.15">
      <c r="A29" s="40"/>
      <c r="B29" s="72">
        <v>2026</v>
      </c>
      <c r="C29" s="68">
        <v>3</v>
      </c>
      <c r="D29" s="155" t="s">
        <v>36</v>
      </c>
      <c r="E29" s="70" t="s">
        <v>18</v>
      </c>
      <c r="F29" s="70"/>
      <c r="G29" s="73"/>
      <c r="H29" s="11"/>
      <c r="I29" s="30"/>
      <c r="J29" s="11"/>
      <c r="K29" s="11"/>
      <c r="L29" s="21"/>
      <c r="M29" s="21"/>
      <c r="N29" s="21"/>
      <c r="O29" s="5"/>
    </row>
    <row r="30" spans="1:17" ht="15.95" hidden="1" customHeight="1" x14ac:dyDescent="0.15">
      <c r="A30" s="40"/>
      <c r="B30" s="74"/>
      <c r="C30" s="68"/>
      <c r="D30" s="69" t="s">
        <v>25</v>
      </c>
      <c r="E30" s="70"/>
      <c r="F30" s="70"/>
      <c r="G30" s="73"/>
      <c r="H30" s="11"/>
      <c r="I30" s="30"/>
      <c r="J30" s="11"/>
      <c r="K30" s="11"/>
      <c r="L30" s="21"/>
      <c r="M30" s="14"/>
      <c r="N30" s="14"/>
      <c r="O30" s="5"/>
    </row>
    <row r="31" spans="1:17" ht="15.95" hidden="1" customHeight="1" x14ac:dyDescent="0.15">
      <c r="A31" s="40"/>
      <c r="B31" s="74"/>
      <c r="C31" s="68"/>
      <c r="D31" s="69" t="s">
        <v>26</v>
      </c>
      <c r="E31" s="70"/>
      <c r="F31" s="70"/>
      <c r="G31" s="73"/>
      <c r="H31" s="11"/>
      <c r="I31" s="30"/>
      <c r="J31" s="11"/>
      <c r="K31" s="11"/>
      <c r="L31" s="21"/>
      <c r="O31" s="5"/>
    </row>
    <row r="32" spans="1:17" ht="15.95" hidden="1" customHeight="1" x14ac:dyDescent="0.15">
      <c r="A32" s="40"/>
      <c r="B32" s="74"/>
      <c r="C32" s="68"/>
      <c r="D32" s="69" t="s">
        <v>27</v>
      </c>
      <c r="E32" s="70"/>
      <c r="F32" s="70"/>
      <c r="G32" s="73"/>
      <c r="H32" s="11"/>
      <c r="I32" s="30"/>
      <c r="J32" s="11"/>
      <c r="K32" s="11"/>
      <c r="L32" s="21"/>
      <c r="M32" s="26"/>
      <c r="N32" s="26"/>
      <c r="O32" s="5"/>
    </row>
    <row r="33" spans="1:15" ht="15.95" hidden="1" customHeight="1" x14ac:dyDescent="0.15">
      <c r="A33" s="40"/>
      <c r="B33" s="74"/>
      <c r="C33" s="68"/>
      <c r="D33" s="69" t="s">
        <v>28</v>
      </c>
      <c r="E33" s="70"/>
      <c r="F33" s="70"/>
      <c r="G33" s="73"/>
      <c r="H33" s="11"/>
      <c r="I33" s="30"/>
      <c r="J33" s="11"/>
      <c r="K33" s="11"/>
      <c r="L33" s="21"/>
      <c r="M33" s="16"/>
      <c r="N33" s="16"/>
      <c r="O33" s="5"/>
    </row>
    <row r="34" spans="1:15" ht="15.95" customHeight="1" thickBot="1" x14ac:dyDescent="0.2">
      <c r="A34" s="40"/>
      <c r="B34" s="75"/>
      <c r="C34" s="76"/>
      <c r="D34" s="77"/>
      <c r="E34" s="78"/>
      <c r="F34" s="78"/>
      <c r="G34" s="79"/>
      <c r="H34" s="11"/>
      <c r="I34" s="30"/>
      <c r="J34" s="11"/>
      <c r="K34" s="11"/>
      <c r="L34" s="21"/>
      <c r="M34" s="16"/>
      <c r="N34" s="16"/>
      <c r="O34" s="5"/>
    </row>
    <row r="35" spans="1:15" ht="14.25" thickTop="1" x14ac:dyDescent="0.15"/>
  </sheetData>
  <mergeCells count="15">
    <mergeCell ref="E32:F32"/>
    <mergeCell ref="E33:F33"/>
    <mergeCell ref="E34:F34"/>
    <mergeCell ref="E26:F26"/>
    <mergeCell ref="E27:F27"/>
    <mergeCell ref="E28:F28"/>
    <mergeCell ref="E29:F29"/>
    <mergeCell ref="E30:F30"/>
    <mergeCell ref="E31:F31"/>
    <mergeCell ref="K1:L1"/>
    <mergeCell ref="E21:F21"/>
    <mergeCell ref="E22:F22"/>
    <mergeCell ref="E23:F23"/>
    <mergeCell ref="E24:F24"/>
    <mergeCell ref="E25:F25"/>
  </mergeCells>
  <phoneticPr fontId="1"/>
  <dataValidations count="3">
    <dataValidation type="list" showInputMessage="1" showErrorMessage="1" sqref="L22:L34 M22:N29" xr:uid="{5E58EEEC-C181-4429-AB74-20E6989FF23D}">
      <formula1>"期中取得,起業,　　"</formula1>
    </dataValidation>
    <dataValidation type="list" allowBlank="1" showInputMessage="1" showErrorMessage="1" sqref="E22:F34" xr:uid="{E785F6C2-E58F-49C8-AECE-7D6EBDA9E4C1}">
      <formula1>"取得,除却,　　"</formula1>
    </dataValidation>
    <dataValidation type="list" showInputMessage="1" showErrorMessage="1" sqref="M30:N30 E4:E9 E11:E16" xr:uid="{2769DE61-B181-41F4-B155-9F1074DF9C46}">
      <formula1>#REF!</formula1>
    </dataValidation>
  </dataValidations>
  <pageMargins left="0.11811023622047245" right="0" top="0.39370078740157483" bottom="0" header="0.19685039370078741" footer="0"/>
  <pageSetup paperSize="9" scale="71" orientation="portrait" copies="5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グループA</vt:lpstr>
      <vt:lpstr>グループB</vt:lpstr>
      <vt:lpstr>グループA!Print_Area</vt:lpstr>
      <vt:lpstr>グループB!Print_Area</vt:lpstr>
    </vt:vector>
  </TitlesOfParts>
  <Manager/>
  <Company>DELL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管理Gr</dc:creator>
  <cp:keywords/>
  <dc:description/>
  <cp:lastModifiedBy>眞司 河本</cp:lastModifiedBy>
  <cp:revision/>
  <cp:lastPrinted>2025-11-24T00:39:32Z</cp:lastPrinted>
  <dcterms:created xsi:type="dcterms:W3CDTF">2009-01-14T04:30:06Z</dcterms:created>
  <dcterms:modified xsi:type="dcterms:W3CDTF">2025-11-24T01:00:39Z</dcterms:modified>
  <cp:category/>
  <cp:contentStatus/>
</cp:coreProperties>
</file>