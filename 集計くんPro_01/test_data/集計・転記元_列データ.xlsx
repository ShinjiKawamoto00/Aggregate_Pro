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KCC\Aggregate\Script_01\集計くんPro\test_data\"/>
    </mc:Choice>
  </mc:AlternateContent>
  <xr:revisionPtr revIDLastSave="0" documentId="13_ncr:1_{8F20C30B-2821-4E4E-9866-3015E61F319B}" xr6:coauthVersionLast="47" xr6:coauthVersionMax="47" xr10:uidLastSave="{00000000-0000-0000-0000-000000000000}"/>
  <bookViews>
    <workbookView xWindow="390" yWindow="390" windowWidth="23640" windowHeight="14280" tabRatio="693" xr2:uid="{305F2914-B7D3-4E04-807E-BB613A708E5B}"/>
  </bookViews>
  <sheets>
    <sheet name="グループC" sheetId="34"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123Graph_ATRD2" hidden="1">'[1]9CY'!#REF!</definedName>
    <definedName name="__123Graph_ATRD2B" hidden="1">'[1]9CY'!#REF!</definedName>
    <definedName name="__123Graph_ATRD3" hidden="1">'[1]9CY'!#REF!</definedName>
    <definedName name="__123Graph_ATRD3B" hidden="1">'[1]9CY'!#REF!</definedName>
    <definedName name="__123Graph_BTRD2" hidden="1">'[1]9CY'!#REF!</definedName>
    <definedName name="__123Graph_BTRD2B" hidden="1">'[1]9CY'!#REF!</definedName>
    <definedName name="__123Graph_BTRD3" hidden="1">'[1]9CY'!#REF!</definedName>
    <definedName name="__123Graph_BTRD3B" hidden="1">'[1]9CY'!#REF!</definedName>
    <definedName name="__123Graph_CTRD2" hidden="1">'[1]9CY'!#REF!</definedName>
    <definedName name="__123Graph_CTRD2B" hidden="1">'[1]9CY'!#REF!</definedName>
    <definedName name="__123Graph_CTRD3" hidden="1">'[1]9CY'!#REF!</definedName>
    <definedName name="__123Graph_CTRD3B" hidden="1">'[1]9CY'!#REF!</definedName>
    <definedName name="__123Graph_DTRD2" hidden="1">'[1]9CY'!#REF!</definedName>
    <definedName name="__123Graph_DTRD2B" hidden="1">'[1]9CY'!#REF!</definedName>
    <definedName name="__123Graph_DTRD3" hidden="1">'[1]9CY'!#REF!</definedName>
    <definedName name="__123Graph_DTRD3B" hidden="1">'[1]9CY'!#REF!</definedName>
    <definedName name="_10L4_" localSheetId="0">#REF!</definedName>
    <definedName name="_10L4_">#REF!</definedName>
    <definedName name="_123PSUB">[2]手帳資料!#REF!</definedName>
    <definedName name="_123STAT">[2]手帳資料!#REF!</definedName>
    <definedName name="_1D1_">[3]グラフ!$M$4:$M$15</definedName>
    <definedName name="_2D2_">[3]グラフ!$O$4:$O$9</definedName>
    <definedName name="_3D3_" localSheetId="0">#REF!</definedName>
    <definedName name="_3D3_">#REF!</definedName>
    <definedName name="_4D4_" localSheetId="0">#REF!</definedName>
    <definedName name="_4D4_">#REF!</definedName>
    <definedName name="_5DD1_">[3]グラフ!$M$24:$M$35</definedName>
    <definedName name="_6DD2_">[3]グラフ!$O$24:$O$27</definedName>
    <definedName name="_7L1_">[3]グラフ!$N$4:$N$15</definedName>
    <definedName name="_8L2_">[3]グラフ!$P$4:$P$9</definedName>
    <definedName name="_9L3_" localSheetId="0">#REF!</definedName>
    <definedName name="_9L3_">#REF!</definedName>
    <definedName name="_Fill" localSheetId="0" hidden="1">#REF!</definedName>
    <definedName name="_Fill" hidden="1">#REF!</definedName>
    <definedName name="_Key1" localSheetId="0" hidden="1">#REF!</definedName>
    <definedName name="_Key1" hidden="1">#REF!</definedName>
    <definedName name="_LL1">[3]グラフ!$N$24:$N$35</definedName>
    <definedName name="_LL2">[3]グラフ!$P$24:$P$27</definedName>
    <definedName name="_LP1" localSheetId="0">#REF!</definedName>
    <definedName name="_LP1">#REF!</definedName>
    <definedName name="_LP2" localSheetId="0">#REF!</definedName>
    <definedName name="_LP2">#REF!</definedName>
    <definedName name="_LP3" localSheetId="0">#REF!</definedName>
    <definedName name="_LP3">#REF!</definedName>
    <definedName name="_LP4" localSheetId="0">#REF!</definedName>
    <definedName name="_LP4">#REF!</definedName>
    <definedName name="_Order1" hidden="1">255</definedName>
    <definedName name="\0" localSheetId="0">#REF!</definedName>
    <definedName name="\0">#REF!</definedName>
    <definedName name="\a">[2]手帳資料!#REF!</definedName>
    <definedName name="\b">[2]手帳資料!#REF!</definedName>
    <definedName name="\c">[2]手帳資料!#REF!</definedName>
    <definedName name="\d">[2]手帳資料!#REF!</definedName>
    <definedName name="\e">[2]手帳資料!#REF!</definedName>
    <definedName name="\f">[2]手帳資料!#REF!</definedName>
    <definedName name="\g">[2]手帳資料!#REF!</definedName>
    <definedName name="\h">[2]手帳資料!#REF!</definedName>
    <definedName name="\i">[2]手帳資料!#REF!</definedName>
    <definedName name="\j">[2]手帳資料!#REF!</definedName>
    <definedName name="\k">[2]手帳資料!#REF!</definedName>
    <definedName name="\l">[2]手帳資料!#REF!</definedName>
    <definedName name="\m">[2]手帳資料!#REF!</definedName>
    <definedName name="\n">[2]手帳資料!#REF!</definedName>
    <definedName name="\o">[2]手帳資料!#REF!</definedName>
    <definedName name="\p">[2]手帳資料!#REF!</definedName>
    <definedName name="\q">[2]手帳資料!#REF!</definedName>
    <definedName name="\r">[2]手帳資料!#REF!</definedName>
    <definedName name="\s">[2]手帳資料!#REF!</definedName>
    <definedName name="\t">[2]手帳資料!#REF!</definedName>
    <definedName name="\u">[2]手帳資料!#REF!</definedName>
    <definedName name="\v">[2]手帳資料!#REF!</definedName>
    <definedName name="\w">[2]手帳資料!#REF!</definedName>
    <definedName name="\x">[2]手帳資料!#REF!</definedName>
    <definedName name="\y">[2]手帳資料!#REF!</definedName>
    <definedName name="A" localSheetId="0">#REF!</definedName>
    <definedName name="A">#REF!</definedName>
    <definedName name="ＡＡＡ" localSheetId="0">#REF!</definedName>
    <definedName name="ＡＡＡ">#REF!</definedName>
    <definedName name="AB" localSheetId="0">#REF!</definedName>
    <definedName name="AB">#REF!</definedName>
    <definedName name="AUTOEXEC">[4]一般補修.XLS!#REF!</definedName>
    <definedName name="AZ">[5]数量!$E$7:$E$189</definedName>
    <definedName name="B" localSheetId="0">#REF!</definedName>
    <definedName name="B">#REF!</definedName>
    <definedName name="CCC">[2]手帳資料!#REF!</definedName>
    <definedName name="CDAYS" localSheetId="0">#REF!</definedName>
    <definedName name="CDAYS">#REF!</definedName>
    <definedName name="CINV" localSheetId="0">#REF!</definedName>
    <definedName name="CINV">#REF!</definedName>
    <definedName name="CLPG" localSheetId="0">#REF!</definedName>
    <definedName name="CLPG">#REF!</definedName>
    <definedName name="COLS">[2]手帳資料!#REF!</definedName>
    <definedName name="COMPANY">[1]集計表!$D$8</definedName>
    <definedName name="COUNT">[2]手帳資料!#REF!</definedName>
    <definedName name="_xlnm.Criteria" localSheetId="0">#REF!</definedName>
    <definedName name="_xlnm.Criteria">#REF!</definedName>
    <definedName name="Criteria_MI" localSheetId="0">#REF!</definedName>
    <definedName name="Criteria_MI">#REF!</definedName>
    <definedName name="CRUDE_COST" localSheetId="0">#REF!</definedName>
    <definedName name="CRUDE_COST">#REF!</definedName>
    <definedName name="CRUDE_VOL" localSheetId="0">#REF!</definedName>
    <definedName name="CRUDE_VOL">#REF!</definedName>
    <definedName name="CSLDB" localSheetId="0">#REF!</definedName>
    <definedName name="CSLDB">#REF!</definedName>
    <definedName name="CSUL" localSheetId="0">#REF!</definedName>
    <definedName name="CSUL">#REF!</definedName>
    <definedName name="Cﾍﾟｰｽﾄ">[2]手帳資料!#REF!</definedName>
    <definedName name="D">'[6]96CRD'!#REF!</definedName>
    <definedName name="DATA" localSheetId="0">#REF!</definedName>
    <definedName name="DATA">#REF!</definedName>
    <definedName name="_xlnm.Database" localSheetId="0">#REF!</definedName>
    <definedName name="_xlnm.Database">#REF!</definedName>
    <definedName name="Database_MI" localSheetId="0">#REF!</definedName>
    <definedName name="Database_MI">#REF!</definedName>
    <definedName name="data前" localSheetId="0">#REF!</definedName>
    <definedName name="data前">#REF!</definedName>
    <definedName name="data定" localSheetId="0">#REF!</definedName>
    <definedName name="data定">#REF!</definedName>
    <definedName name="DAY" localSheetId="0">#REF!</definedName>
    <definedName name="DAY">#REF!</definedName>
    <definedName name="ECONOMICS" localSheetId="0">#REF!</definedName>
    <definedName name="ECONOMICS">#REF!</definedName>
    <definedName name="EDAY">[2]手帳資料!#REF!</definedName>
    <definedName name="EMONTH">[2]手帳資料!#REF!</definedName>
    <definedName name="_xlnm.Extract" localSheetId="0">#REF!</definedName>
    <definedName name="_xlnm.Extract">#REF!</definedName>
    <definedName name="Extract_MI" localSheetId="0">#REF!</definedName>
    <definedName name="Extract_MI">#REF!</definedName>
    <definedName name="ｆ" localSheetId="0">#REF!</definedName>
    <definedName name="ｆ">#REF!</definedName>
    <definedName name="GG" localSheetId="0">#REF!</definedName>
    <definedName name="GG">#REF!</definedName>
    <definedName name="GT" localSheetId="0">#REF!</definedName>
    <definedName name="GT">#REF!</definedName>
    <definedName name="Ｇ取替工数" localSheetId="0">#REF!</definedName>
    <definedName name="Ｇ取替工数">#REF!</definedName>
    <definedName name="ｈ">'[7]20100325'!$F$20:$BE$164</definedName>
    <definedName name="H15定補削減率">'[8]装置コード（LOCAL)'!#REF!</definedName>
    <definedName name="HJC車" localSheetId="0">#REF!</definedName>
    <definedName name="HJC車">#REF!</definedName>
    <definedName name="HMV" localSheetId="0">#REF!</definedName>
    <definedName name="HMV">#REF!</definedName>
    <definedName name="HV" localSheetId="0">#REF!</definedName>
    <definedName name="HV">#REF!</definedName>
    <definedName name="hyou" localSheetId="0">#REF!</definedName>
    <definedName name="hyou">#REF!</definedName>
    <definedName name="IDMS_MS_MASTER_SECT" localSheetId="0">#REF!</definedName>
    <definedName name="IDMS_MS_MASTER_SECT">#REF!</definedName>
    <definedName name="iii" localSheetId="0">#REF!</definedName>
    <definedName name="iii">#REF!</definedName>
    <definedName name="iiii" localSheetId="0">#REF!</definedName>
    <definedName name="iiii">#REF!</definedName>
    <definedName name="INDENT">[2]手帳資料!#REF!</definedName>
    <definedName name="INPUT" localSheetId="0">#REF!</definedName>
    <definedName name="INPUT">#REF!</definedName>
    <definedName name="JET">[9]見積!#REF!</definedName>
    <definedName name="JJ" localSheetId="0">#REF!</definedName>
    <definedName name="JJ">#REF!</definedName>
    <definedName name="K" localSheetId="0">#REF!</definedName>
    <definedName name="K">#REF!</definedName>
    <definedName name="K_CURR">[1]経費率!$C$10</definedName>
    <definedName name="K25表F3の3">[10]UNIT!#REF!</definedName>
    <definedName name="KZ">[5]数量!$J$7:$J$189</definedName>
    <definedName name="KZY">[5]数量!$O$7:$O$189</definedName>
    <definedName name="LIST">'[11]請求金額一覧（元データ）'!$B$9:$B$127</definedName>
    <definedName name="LOCATION">[1]集計表!$D$9</definedName>
    <definedName name="LOOP">[2]手帳資料!#REF!</definedName>
    <definedName name="LOOPC">[2]手帳資料!#REF!</definedName>
    <definedName name="LOOPD">[2]手帳資料!#REF!</definedName>
    <definedName name="LPZENBU" localSheetId="0">#REF!</definedName>
    <definedName name="LPZENBU">#REF!</definedName>
    <definedName name="M_MENU">[2]手帳資料!#REF!</definedName>
    <definedName name="M_R_D_COPY">[2]手帳資料!#REF!</definedName>
    <definedName name="M_TRUECOPY">[2]手帳資料!#REF!</definedName>
    <definedName name="M_ｻﾌﾞﾙｰﾁﾝ">[2]手帳資料!#REF!</definedName>
    <definedName name="M_ﾍﾟｰｽﾄ">[2]手帳資料!#REF!</definedName>
    <definedName name="M_罫線">[2]手帳資料!#REF!</definedName>
    <definedName name="M_日付入力">[2]手帳資料!#REF!</definedName>
    <definedName name="M_汎用">[2]手帳資料!#REF!</definedName>
    <definedName name="MENU">[2]手帳資料!#REF!</definedName>
    <definedName name="MF_STOCK">'[12]MF TANK MASTER'!$B$2:$G$187</definedName>
    <definedName name="MFEDMS図面KEYデータ計装" localSheetId="0">#REF!</definedName>
    <definedName name="MFEDMS図面KEYデータ計装">#REF!</definedName>
    <definedName name="MFEDMS図面用KEYデータタンク" localSheetId="0">#REF!</definedName>
    <definedName name="MFEDMS図面用KEYデータタンク">#REF!</definedName>
    <definedName name="MFEDMS図面用KEYデータ回転機器" localSheetId="0">#REF!</definedName>
    <definedName name="MFEDMS図面用KEYデータ回転機器">#REF!</definedName>
    <definedName name="MFEDMS図面用KEYデータ静止" localSheetId="0">#REF!</definedName>
    <definedName name="MFEDMS図面用KEYデータ静止">#REF!</definedName>
    <definedName name="MFEDMS図面用KEY電気" localSheetId="0">#REF!</definedName>
    <definedName name="MFEDMS図面用KEY電気">#REF!</definedName>
    <definedName name="MONTH">[2]手帳資料!#REF!</definedName>
    <definedName name="MSG">[2]手帳資料!#REF!</definedName>
    <definedName name="MSGB">[2]手帳資料!#REF!</definedName>
    <definedName name="MSGC">[2]手帳資料!#REF!</definedName>
    <definedName name="N_KOUJI" localSheetId="0">#REF!</definedName>
    <definedName name="N_KOUJI">#REF!</definedName>
    <definedName name="No" localSheetId="0">#REF!</definedName>
    <definedName name="No">#REF!</definedName>
    <definedName name="os">[13]更新投資一覧!$V$1:$V$65536</definedName>
    <definedName name="OS_STOCK">'[12]OS TANK MASTER'!$B$2:$G$133</definedName>
    <definedName name="OSEDMS図面用KEYデータ回転" localSheetId="0">#REF!</definedName>
    <definedName name="OSEDMS図面用KEYデータ回転">#REF!</definedName>
    <definedName name="OSEDMS図面用KEYデータ計装" localSheetId="0">#REF!</definedName>
    <definedName name="OSEDMS図面用KEYデータ計装">#REF!</definedName>
    <definedName name="OSEDMS図面用KEYデータ静止" localSheetId="0">#REF!</definedName>
    <definedName name="OSEDMS図面用KEYデータ静止">#REF!</definedName>
    <definedName name="OSEDMS図面用KEYデータ電気" localSheetId="0">#REF!</definedName>
    <definedName name="OSEDMS図面用KEYデータ電気">#REF!</definedName>
    <definedName name="P_ANTAI" localSheetId="0">#REF!</definedName>
    <definedName name="P_ANTAI">#REF!</definedName>
    <definedName name="P_GENTI" localSheetId="0">#REF!</definedName>
    <definedName name="P_GENTI">#REF!</definedName>
    <definedName name="P_KANTOKU" localSheetId="0">#REF!</definedName>
    <definedName name="P_KANTOKU">#REF!</definedName>
    <definedName name="P_ＫＩＳＯＮ" localSheetId="0">#REF!</definedName>
    <definedName name="P_ＫＩＳＯＮ">#REF!</definedName>
    <definedName name="POSITION">[2]手帳資料!#REF!</definedName>
    <definedName name="PRINT">[2]手帳資料!#REF!</definedName>
    <definedName name="_xlnm.Print_Area" localSheetId="0">グループC!$A$1:$R$9</definedName>
    <definedName name="_xlnm.Print_Area">#REF!</definedName>
    <definedName name="PRINT_AREA_MI" localSheetId="0">#REF!</definedName>
    <definedName name="PRINT_AREA_MI">#REF!</definedName>
    <definedName name="_xlnm.Print_Titles">#REF!</definedName>
    <definedName name="Print_Titles_MI" localSheetId="0">#REF!</definedName>
    <definedName name="Print_Titles_MI">#REF!</definedName>
    <definedName name="PRODUCT_SDP" localSheetId="0">#REF!</definedName>
    <definedName name="PRODUCT_SDP">#REF!</definedName>
    <definedName name="PRODUCT_VOL" localSheetId="0">#REF!</definedName>
    <definedName name="PRODUCT_VOL">#REF!</definedName>
    <definedName name="PSUB">[2]手帳資料!#REF!</definedName>
    <definedName name="PT" localSheetId="0">#REF!</definedName>
    <definedName name="PT">#REF!</definedName>
    <definedName name="PURCCHASED" localSheetId="0">#REF!</definedName>
    <definedName name="PURCCHASED">#REF!</definedName>
    <definedName name="PURCHASED" localSheetId="0">#REF!</definedName>
    <definedName name="PURCHASED">#REF!</definedName>
    <definedName name="RANGEA">[2]手帳資料!#REF!</definedName>
    <definedName name="RANGEC">[2]手帳資料!#REF!</definedName>
    <definedName name="RBDM" localSheetId="0">#REF!</definedName>
    <definedName name="RBDM">#REF!</definedName>
    <definedName name="RT" localSheetId="0">#REF!</definedName>
    <definedName name="RT">#REF!</definedName>
    <definedName name="RTDB" localSheetId="0">#REF!</definedName>
    <definedName name="RTDB">#REF!</definedName>
    <definedName name="RTｻｲｽﾞ" localSheetId="0">#REF!</definedName>
    <definedName name="RTｻｲｽﾞ">#REF!</definedName>
    <definedName name="smm" localSheetId="0">#REF!</definedName>
    <definedName name="smm">#REF!</definedName>
    <definedName name="SPRINT">[2]手帳資料!#REF!</definedName>
    <definedName name="SPSUB">[2]手帳資料!#REF!</definedName>
    <definedName name="TA" localSheetId="0">#REF!</definedName>
    <definedName name="TA">#REF!</definedName>
    <definedName name="tos" localSheetId="0">#REF!</definedName>
    <definedName name="tos">#REF!</definedName>
    <definedName name="TOTAL_1" localSheetId="0">#REF!</definedName>
    <definedName name="TOTAL_1">#REF!</definedName>
    <definedName name="TOTAL_2" localSheetId="0">#REF!</definedName>
    <definedName name="TOTAL_2">#REF!</definedName>
    <definedName name="TOTAL_3" localSheetId="0">#REF!</definedName>
    <definedName name="TOTAL_3">#REF!</definedName>
    <definedName name="TRANSFER" localSheetId="0">#REF!</definedName>
    <definedName name="TRANSFER">#REF!</definedName>
    <definedName name="TYPE">[2]手帳資料!#REF!</definedName>
    <definedName name="UNIT_CHG" localSheetId="0">#REF!</definedName>
    <definedName name="UNIT_CHG">#REF!</definedName>
    <definedName name="UNIT_SDP" localSheetId="0">#REF!</definedName>
    <definedName name="UNIT_SDP">#REF!</definedName>
    <definedName name="V_C">[2]手帳資料!#REF!</definedName>
    <definedName name="WIDTH">[2]手帳資料!#REF!</definedName>
    <definedName name="X_C">[2]手帳資料!#REF!</definedName>
    <definedName name="xcA総括課52tbR1C1R36C21tbR1C1tb">[4]一般補修.XLS!#REF!</definedName>
    <definedName name="Xﾍﾟｰｽﾄ">[2]手帳資料!#REF!</definedName>
    <definedName name="YEAR">[2]手帳資料!#REF!</definedName>
    <definedName name="ZL" localSheetId="0">#REF!</definedName>
    <definedName name="ZL">#REF!</definedName>
    <definedName name="ZLK" localSheetId="0">#REF!</definedName>
    <definedName name="ZLK">#REF!</definedName>
    <definedName name="ZZ" localSheetId="0">#REF!</definedName>
    <definedName name="ZZ">#REF!</definedName>
    <definedName name="ZZY">[5]数量!#REF!</definedName>
    <definedName name="あ">[14]数量!$E$7:$E$189</definedName>
    <definedName name="ああ" localSheetId="0">#REF!</definedName>
    <definedName name="ああ">#REF!</definedName>
    <definedName name="ｱﾗｰﾄ">[2]手帳資料!#REF!</definedName>
    <definedName name="ｱﾗｰﾄB">[2]手帳資料!#REF!</definedName>
    <definedName name="ｱﾗｰﾄC">[2]手帳資料!#REF!</definedName>
    <definedName name="ウェルダー" localSheetId="0">#REF!</definedName>
    <definedName name="ウェルダー">#REF!</definedName>
    <definedName name="ｸﾗｽ" localSheetId="0">#REF!</definedName>
    <definedName name="ｸﾗｽ">#REF!</definedName>
    <definedName name="グループ名" localSheetId="0">#REF!</definedName>
    <definedName name="グループ名">#REF!</definedName>
    <definedName name="クレーン25" localSheetId="0">#REF!</definedName>
    <definedName name="クレーン25">#REF!</definedName>
    <definedName name="クレーン45" localSheetId="0">#REF!</definedName>
    <definedName name="クレーン45">#REF!</definedName>
    <definedName name="サービス一覧">'[11]＜料金表作成用＞'!$B$9:$J$38</definedName>
    <definedName name="ｻｲｶﾞ工程表">[15]手帳資料!#REF!</definedName>
    <definedName name="ｻｲｽﾞ" localSheetId="0">#REF!</definedName>
    <definedName name="ｻｲｽﾞ">#REF!</definedName>
    <definedName name="ｻｲｽﾞDB" localSheetId="0">#REF!</definedName>
    <definedName name="ｻｲｽﾞDB">#REF!</definedName>
    <definedName name="その他工数" localSheetId="0">#REF!</definedName>
    <definedName name="その他工数">#REF!</definedName>
    <definedName name="ダンパー車" localSheetId="0">#REF!</definedName>
    <definedName name="ダンパー車">#REF!</definedName>
    <definedName name="ティグニー" localSheetId="0">#REF!</definedName>
    <definedName name="ティグニー">#REF!</definedName>
    <definedName name="テーブル1" localSheetId="0">#REF!</definedName>
    <definedName name="テーブル1">#REF!</definedName>
    <definedName name="テスト工数" localSheetId="0">#REF!</definedName>
    <definedName name="テスト工数">#REF!</definedName>
    <definedName name="トラック11" localSheetId="0">#REF!</definedName>
    <definedName name="トラック11">#REF!</definedName>
    <definedName name="ビジター">[16]TKG2!$I$30</definedName>
    <definedName name="ﾎﾞﾙﾄ" localSheetId="0">#REF!</definedName>
    <definedName name="ﾎﾞﾙﾄ">#REF!</definedName>
    <definedName name="ﾎﾞﾙﾄｻｲｽﾞ" localSheetId="0">#REF!</definedName>
    <definedName name="ﾎﾞﾙﾄｻｲｽﾞ">#REF!</definedName>
    <definedName name="ボルト単価" localSheetId="0">#REF!</definedName>
    <definedName name="ボルト単価">#REF!</definedName>
    <definedName name="ﾎﾞﾙﾄ本数" localSheetId="0">#REF!</definedName>
    <definedName name="ﾎﾞﾙﾄ本数">#REF!</definedName>
    <definedName name="メンバー">[16]TKG2!$J$30</definedName>
    <definedName name="ユニック4" localSheetId="0">#REF!</definedName>
    <definedName name="ユニック4">#REF!</definedName>
    <definedName name="ﾘｰｽ支払見込計" localSheetId="0">#REF!</definedName>
    <definedName name="ﾘｰｽ支払見込計">#REF!</definedName>
    <definedName name="ﾘｰｽ料支払見込計" localSheetId="0">#REF!</definedName>
    <definedName name="ﾘｰｽ料支払見込計">#REF!</definedName>
    <definedName name="安全">[17]表紙!#REF!</definedName>
    <definedName name="位置選択">[2]手帳資料!#REF!</definedName>
    <definedName name="雨水汲上追加2" localSheetId="0">#REF!</definedName>
    <definedName name="雨水汲上追加2">#REF!</definedName>
    <definedName name="確認">[2]手帳資料!#REF!</definedName>
    <definedName name="監督費">[9]見積!#REF!</definedName>
    <definedName name="基盤整備" localSheetId="0">#REF!</definedName>
    <definedName name="基盤整備">#REF!</definedName>
    <definedName name="機器工数" localSheetId="0">#REF!</definedName>
    <definedName name="機器工数">#REF!</definedName>
    <definedName name="機損費">[9]見積!#REF!</definedName>
    <definedName name="記号" localSheetId="0">#REF!</definedName>
    <definedName name="記号">#REF!</definedName>
    <definedName name="許可願" localSheetId="0">#REF!</definedName>
    <definedName name="許可願">#REF!</definedName>
    <definedName name="計算式" localSheetId="0">#REF!</definedName>
    <definedName name="計算式">#REF!</definedName>
    <definedName name="個別ﾃﾞｰﾀ" localSheetId="0">#REF!</definedName>
    <definedName name="個別ﾃﾞｰﾀ">#REF!</definedName>
    <definedName name="工事" localSheetId="0">#REF!</definedName>
    <definedName name="工事">#REF!</definedName>
    <definedName name="工事管理" localSheetId="0">#REF!</definedName>
    <definedName name="工事管理">#REF!</definedName>
    <definedName name="工事管理Ｇ" localSheetId="0">#REF!</definedName>
    <definedName name="工事管理Ｇ">#REF!</definedName>
    <definedName name="工事組織表" localSheetId="0">#REF!</definedName>
    <definedName name="工事組織表">#REF!</definedName>
    <definedName name="工事組織表１" localSheetId="0">#REF!</definedName>
    <definedName name="工事組織表１">#REF!</definedName>
    <definedName name="工事組織表３">[18]現地経費!#REF!</definedName>
    <definedName name="工事番号" localSheetId="0">#REF!</definedName>
    <definedName name="工事番号">#REF!</definedName>
    <definedName name="工事費" localSheetId="0">#REF!</definedName>
    <definedName name="工事費">#REF!</definedName>
    <definedName name="工事名称" localSheetId="0">#REF!</definedName>
    <definedName name="工事名称">#REF!</definedName>
    <definedName name="工場工事番号" localSheetId="0">#REF!</definedName>
    <definedName name="工場工事番号">#REF!</definedName>
    <definedName name="鋼材資材価格" localSheetId="0">#REF!</definedName>
    <definedName name="鋼材資材価格">#REF!</definedName>
    <definedName name="材集リスト" localSheetId="0">#REF!</definedName>
    <definedName name="材集リスト">#REF!</definedName>
    <definedName name="作業員リスト">[19]作業員リスト!$A$2:$AE$96</definedName>
    <definedName name="作業項目" localSheetId="0">#REF!</definedName>
    <definedName name="作業項目">#REF!</definedName>
    <definedName name="仕切工数" localSheetId="0">#REF!</definedName>
    <definedName name="仕切工数">#REF!</definedName>
    <definedName name="氏名">[19]作業員リスト!$A$2:$A$96</definedName>
    <definedName name="資材価格1" localSheetId="0">#REF!</definedName>
    <definedName name="資材価格1">#REF!</definedName>
    <definedName name="資材価格2" localSheetId="0">#REF!</definedName>
    <definedName name="資材価格2">#REF!</definedName>
    <definedName name="資材価格3" localSheetId="0">#REF!</definedName>
    <definedName name="資材価格3">#REF!</definedName>
    <definedName name="資材単価1" localSheetId="0">#REF!</definedName>
    <definedName name="資材単価1">#REF!</definedName>
    <definedName name="資材単価2" localSheetId="0">#REF!</definedName>
    <definedName name="資材単価2">#REF!</definedName>
    <definedName name="資材単価3" localSheetId="0">#REF!</definedName>
    <definedName name="資材単価3">#REF!</definedName>
    <definedName name="資材費" localSheetId="0">#REF!</definedName>
    <definedName name="資材費">#REF!</definedName>
    <definedName name="終了C">[2]手帳資料!#REF!</definedName>
    <definedName name="集計" localSheetId="0">#REF!</definedName>
    <definedName name="集計">#REF!</definedName>
    <definedName name="重機費">[9]見積!#REF!</definedName>
    <definedName name="宿泊費" localSheetId="0">#REF!</definedName>
    <definedName name="宿泊費">#REF!</definedName>
    <definedName name="出力ＷＫ" localSheetId="0">#REF!</definedName>
    <definedName name="出力ＷＫ">#REF!</definedName>
    <definedName name="消耗品">[9]見積!#REF!</definedName>
    <definedName name="焼鈍数量" localSheetId="0">#REF!</definedName>
    <definedName name="焼鈍数量">#REF!</definedName>
    <definedName name="数量２">[14]数量!$AC$7:$AC$189</definedName>
    <definedName name="請求書用">'[11]＜料金表作成用＞'!$I$9:$O$38</definedName>
    <definedName name="税コード">[20]LIST!$E$3:$E$12</definedName>
    <definedName name="設計費">[9]見積!#REF!</definedName>
    <definedName name="線種選択">[2]手帳資料!#REF!</definedName>
    <definedName name="足場工数" localSheetId="0">#REF!</definedName>
    <definedName name="足場工数">#REF!</definedName>
    <definedName name="足場材" localSheetId="0">#REF!</definedName>
    <definedName name="足場材">#REF!</definedName>
    <definedName name="第一ｻｲｽﾞ" localSheetId="0">#REF!</definedName>
    <definedName name="第一ｻｲｽﾞ">#REF!</definedName>
    <definedName name="単サイズ" localSheetId="0">#REF!</definedName>
    <definedName name="単サイズ">#REF!</definedName>
    <definedName name="単価" localSheetId="0">#REF!</definedName>
    <definedName name="単価">#REF!</definedName>
    <definedName name="値引" localSheetId="0">#REF!</definedName>
    <definedName name="値引">#REF!</definedName>
    <definedName name="提出金額" localSheetId="0">#REF!</definedName>
    <definedName name="提出金額">#REF!</definedName>
    <definedName name="撤去工数" localSheetId="0">#REF!</definedName>
    <definedName name="撤去工数">#REF!</definedName>
    <definedName name="貼付位置" localSheetId="0">#REF!</definedName>
    <definedName name="貼付位置">#REF!</definedName>
    <definedName name="塗装工数" localSheetId="0">#REF!</definedName>
    <definedName name="塗装工数">#REF!</definedName>
    <definedName name="届出ﾒﾓ">[21]メモ!$A$2:$R$37</definedName>
    <definedName name="日付入力">[2]手帳資料!#REF!</definedName>
    <definedName name="入力画面" localSheetId="0">#REF!</definedName>
    <definedName name="入力画面">#REF!</definedName>
    <definedName name="波崎細目B貼付" localSheetId="0">#REF!</definedName>
    <definedName name="波崎細目B貼付">#REF!</definedName>
    <definedName name="配管" localSheetId="0">#REF!</definedName>
    <definedName name="配管">#REF!</definedName>
    <definedName name="配管工工数" localSheetId="0">#REF!</definedName>
    <definedName name="配管工工数">#REF!</definedName>
    <definedName name="配管資材価格" localSheetId="0">#REF!</definedName>
    <definedName name="配管資材価格">#REF!</definedName>
    <definedName name="配置図" localSheetId="0">#REF!</definedName>
    <definedName name="配置図">#REF!</definedName>
    <definedName name="発電" localSheetId="0">#REF!</definedName>
    <definedName name="発電">#REF!</definedName>
    <definedName name="範囲指定">[2]手帳資料!#REF!</definedName>
    <definedName name="範囲指定A">[2]手帳資料!#REF!</definedName>
    <definedName name="範囲指定B">[2]手帳資料!#REF!</definedName>
    <definedName name="範囲指定C">[2]手帳資料!#REF!</definedName>
    <definedName name="表3">[10]UNIT!#REF!</definedName>
    <definedName name="表F15">[10]UNIT!#REF!</definedName>
    <definedName name="表F16">[10]UNIT!#REF!</definedName>
    <definedName name="表F1の1">[22]UNIT!$D$7:$I$24</definedName>
    <definedName name="表F1の2">[22]UNIT!$C$7:$C$24</definedName>
    <definedName name="表F1の3">[22]UNIT!$D$6:$I$6</definedName>
    <definedName name="表F3の1">[10]UNIT!#REF!</definedName>
    <definedName name="表F3の2">[10]UNIT!#REF!</definedName>
    <definedName name="表F3の3">[10]UNIT!#REF!</definedName>
    <definedName name="表F4の1">[10]UNIT!#REF!</definedName>
    <definedName name="表F4の2">[10]UNIT!#REF!</definedName>
    <definedName name="表F6の1">[10]UNIT!#REF!</definedName>
    <definedName name="表F6の2">[10]UNIT!#REF!</definedName>
    <definedName name="表F7Aの1">[10]UNIT!#REF!</definedName>
    <definedName name="表F7Aの2">[10]UNIT!#REF!</definedName>
    <definedName name="表F7Aの3">[10]UNIT!#REF!</definedName>
    <definedName name="表F7Bの1">[10]UNIT!#REF!</definedName>
    <definedName name="表F7Bの2">[10]UNIT!#REF!</definedName>
    <definedName name="表F7Bの3">[10]UNIT!#REF!</definedName>
    <definedName name="表F7Cの1">[10]UNIT!#REF!</definedName>
    <definedName name="表F7Cの2">[10]UNIT!#REF!</definedName>
    <definedName name="表F7Cの3">[10]UNIT!#REF!</definedName>
    <definedName name="表F7D">[10]UNIT!#REF!</definedName>
    <definedName name="表F7の1">[23]UNIT!$D$39:$F$44</definedName>
    <definedName name="表F7の2">[23]UNIT!$B$39:$B$44</definedName>
    <definedName name="表F7の3">[23]UNIT!$D$38:$F$38</definedName>
    <definedName name="表F8の1">[10]UNIT!#REF!</definedName>
    <definedName name="表F8の2">[10]UNIT!#REF!</definedName>
    <definedName name="表F8の3">[10]UNIT!#REF!</definedName>
    <definedName name="表F9の1">[10]UNIT!#REF!</definedName>
    <definedName name="表F9の2">[10]UNIT!#REF!</definedName>
    <definedName name="表紙" localSheetId="0">#REF!</definedName>
    <definedName name="表紙">#REF!</definedName>
    <definedName name="保温価格" localSheetId="0">#REF!</definedName>
    <definedName name="保温価格">#REF!</definedName>
    <definedName name="保温記号" localSheetId="0">#REF!</definedName>
    <definedName name="保温記号">#REF!</definedName>
    <definedName name="保温金額" localSheetId="0">#REF!</definedName>
    <definedName name="保温金額">#REF!</definedName>
    <definedName name="保温費">[9]見積!#REF!</definedName>
    <definedName name="保守支払見込計" localSheetId="0">#REF!</definedName>
    <definedName name="保守支払見込計">#REF!</definedName>
    <definedName name="保守支払実績計" localSheetId="0">#REF!</definedName>
    <definedName name="保守支払実績計">#REF!</definedName>
    <definedName name="補修削減率">'[24]H14-H16年度 一般補修計画分'!$P$146</definedName>
    <definedName name="明細" localSheetId="0">#REF!</definedName>
    <definedName name="明細">#REF!</definedName>
    <definedName name="溶接工工数" localSheetId="0">#REF!</definedName>
    <definedName name="溶接工工数">#REF!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 i="34" l="1"/>
  <c r="P6" i="34"/>
  <c r="P7" i="34"/>
  <c r="Q7" i="34" s="1"/>
  <c r="I5" i="34"/>
  <c r="I6" i="34"/>
  <c r="I7" i="34"/>
  <c r="D8" i="34"/>
  <c r="E8" i="34"/>
  <c r="F8" i="34"/>
  <c r="G8" i="34"/>
  <c r="H8" i="34"/>
  <c r="J8" i="34"/>
  <c r="K8" i="34"/>
  <c r="L8" i="34"/>
  <c r="M8" i="34"/>
  <c r="N8" i="34"/>
  <c r="O8" i="34"/>
  <c r="C8" i="34"/>
  <c r="P4" i="34"/>
  <c r="I4" i="34"/>
  <c r="Q5" i="34" l="1"/>
  <c r="Q4" i="34"/>
  <c r="Q6" i="34"/>
  <c r="I8" i="34"/>
  <c r="P8" i="34"/>
  <c r="Q8" i="34" l="1"/>
</calcChain>
</file>

<file path=xl/sharedStrings.xml><?xml version="1.0" encoding="utf-8"?>
<sst xmlns="http://schemas.openxmlformats.org/spreadsheetml/2006/main" count="43" uniqueCount="37">
  <si>
    <t>項目</t>
    <rPh sb="0" eb="2">
      <t>コウモク</t>
    </rPh>
    <phoneticPr fontId="7"/>
  </si>
  <si>
    <t>上期計</t>
    <rPh sb="0" eb="1">
      <t>カミ</t>
    </rPh>
    <rPh sb="1" eb="2">
      <t>キ</t>
    </rPh>
    <rPh sb="2" eb="3">
      <t>ケイ</t>
    </rPh>
    <phoneticPr fontId="7"/>
  </si>
  <si>
    <t>下期計</t>
    <rPh sb="0" eb="1">
      <t>シモ</t>
    </rPh>
    <rPh sb="1" eb="2">
      <t>キ</t>
    </rPh>
    <rPh sb="2" eb="3">
      <t>ケイ</t>
    </rPh>
    <phoneticPr fontId="7"/>
  </si>
  <si>
    <t>4月
（当初予算）</t>
    <rPh sb="1" eb="2">
      <t>ツキ</t>
    </rPh>
    <rPh sb="4" eb="8">
      <t>トウショヨサン</t>
    </rPh>
    <phoneticPr fontId="7"/>
  </si>
  <si>
    <t>5月
（当初予算）</t>
    <rPh sb="1" eb="2">
      <t>ツキ</t>
    </rPh>
    <phoneticPr fontId="7"/>
  </si>
  <si>
    <t>6月
（当初予算）</t>
    <rPh sb="1" eb="2">
      <t>ツキ</t>
    </rPh>
    <phoneticPr fontId="7"/>
  </si>
  <si>
    <t>7月
（当初予算）</t>
    <rPh sb="1" eb="2">
      <t>ツキ</t>
    </rPh>
    <phoneticPr fontId="7"/>
  </si>
  <si>
    <t>8月
（当初予算）</t>
    <rPh sb="1" eb="2">
      <t>ツキ</t>
    </rPh>
    <phoneticPr fontId="7"/>
  </si>
  <si>
    <t>9月
（当初予算）</t>
    <rPh sb="1" eb="2">
      <t>ツキ</t>
    </rPh>
    <phoneticPr fontId="7"/>
  </si>
  <si>
    <t>10月
（当初予算）</t>
    <rPh sb="2" eb="3">
      <t>ツキ</t>
    </rPh>
    <phoneticPr fontId="7"/>
  </si>
  <si>
    <t>11月
（当初予算）</t>
    <rPh sb="2" eb="3">
      <t>ツキ</t>
    </rPh>
    <phoneticPr fontId="7"/>
  </si>
  <si>
    <t>12月
（当初予算）</t>
    <rPh sb="2" eb="3">
      <t>ツキ</t>
    </rPh>
    <phoneticPr fontId="7"/>
  </si>
  <si>
    <t>1月
（当初予算）</t>
    <rPh sb="1" eb="2">
      <t>ツキ</t>
    </rPh>
    <phoneticPr fontId="7"/>
  </si>
  <si>
    <t>2月
（当初予算）</t>
    <rPh sb="1" eb="2">
      <t>ツキ</t>
    </rPh>
    <phoneticPr fontId="7"/>
  </si>
  <si>
    <t>3月
（当初予算）</t>
    <rPh sb="1" eb="2">
      <t>ツキ</t>
    </rPh>
    <phoneticPr fontId="7"/>
  </si>
  <si>
    <t>2026年度　予算</t>
    <rPh sb="4" eb="6">
      <t>ネンド</t>
    </rPh>
    <rPh sb="7" eb="9">
      <t>ヨサン</t>
    </rPh>
    <phoneticPr fontId="7"/>
  </si>
  <si>
    <t>経費C合計</t>
    <rPh sb="0" eb="2">
      <t>ケイヒ</t>
    </rPh>
    <rPh sb="3" eb="5">
      <t>ゴウケイ</t>
    </rPh>
    <phoneticPr fontId="7"/>
  </si>
  <si>
    <t>光熱費</t>
    <rPh sb="0" eb="3">
      <t>コウネツヒ</t>
    </rPh>
    <phoneticPr fontId="7"/>
  </si>
  <si>
    <t>（当初予算）
（26年度）</t>
    <rPh sb="1" eb="3">
      <t>トウショ</t>
    </rPh>
    <rPh sb="3" eb="5">
      <t>ヨサン</t>
    </rPh>
    <rPh sb="10" eb="12">
      <t>ネンド</t>
    </rPh>
    <phoneticPr fontId="7"/>
  </si>
  <si>
    <t>リース料</t>
    <rPh sb="3" eb="4">
      <t>リョウ</t>
    </rPh>
    <phoneticPr fontId="7"/>
  </si>
  <si>
    <t>賃借料</t>
    <rPh sb="0" eb="3">
      <t>チンシャクリョウ</t>
    </rPh>
    <phoneticPr fontId="7"/>
  </si>
  <si>
    <t>固定資産</t>
    <rPh sb="0" eb="4">
      <t>コテイシサン</t>
    </rPh>
    <phoneticPr fontId="7"/>
  </si>
  <si>
    <t>年度</t>
    <rPh sb="0" eb="2">
      <t>ネンド</t>
    </rPh>
    <phoneticPr fontId="7"/>
  </si>
  <si>
    <t>月</t>
    <rPh sb="0" eb="1">
      <t>ツキ</t>
    </rPh>
    <phoneticPr fontId="25"/>
  </si>
  <si>
    <t>資産名称</t>
    <phoneticPr fontId="7"/>
  </si>
  <si>
    <t>取得／除却</t>
    <rPh sb="0" eb="2">
      <t>シュトク</t>
    </rPh>
    <phoneticPr fontId="7"/>
  </si>
  <si>
    <r>
      <t>取得価格　</t>
    </r>
    <r>
      <rPr>
        <sz val="9"/>
        <rFont val="ＭＳ Ｐゴシック"/>
        <family val="3"/>
        <charset val="128"/>
      </rPr>
      <t>（千円）</t>
    </r>
    <rPh sb="0" eb="2">
      <t>シュトク</t>
    </rPh>
    <rPh sb="2" eb="4">
      <t>カカク</t>
    </rPh>
    <rPh sb="6" eb="8">
      <t>センエン</t>
    </rPh>
    <phoneticPr fontId="7"/>
  </si>
  <si>
    <t>取得</t>
  </si>
  <si>
    <t>除却</t>
    <rPh sb="0" eb="2">
      <t>ジョキャク</t>
    </rPh>
    <phoneticPr fontId="7"/>
  </si>
  <si>
    <t>設備1_グループC</t>
    <rPh sb="0" eb="2">
      <t>セツビ</t>
    </rPh>
    <phoneticPr fontId="7"/>
  </si>
  <si>
    <t>設備2_グループC</t>
    <rPh sb="0" eb="2">
      <t>セツビ</t>
    </rPh>
    <phoneticPr fontId="7"/>
  </si>
  <si>
    <t>設備3_グループC</t>
    <rPh sb="0" eb="2">
      <t>セツビ</t>
    </rPh>
    <phoneticPr fontId="7"/>
  </si>
  <si>
    <t>設備4_グループC</t>
    <rPh sb="0" eb="2">
      <t>セツビ</t>
    </rPh>
    <phoneticPr fontId="7"/>
  </si>
  <si>
    <t>設備5_グループC</t>
    <rPh sb="0" eb="2">
      <t>セツビ</t>
    </rPh>
    <phoneticPr fontId="7"/>
  </si>
  <si>
    <t>設備6_グループC</t>
    <rPh sb="0" eb="2">
      <t>セツビ</t>
    </rPh>
    <phoneticPr fontId="7"/>
  </si>
  <si>
    <t>設備7_グループC</t>
    <rPh sb="0" eb="2">
      <t>セツビ</t>
    </rPh>
    <phoneticPr fontId="7"/>
  </si>
  <si>
    <t>設備8_グループC</t>
    <rPh sb="0" eb="2">
      <t>セツビ</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</si>
</sst>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0_ ;[Red]\-#,##0\ "/>
    <numFmt numFmtId="177" formatCode="#,###,"/>
    <numFmt numFmtId="178" formatCode="#,##0;&quot;△ &quot;#,##0"/>
  </numFmts>
  <fonts count="31"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ＭＳ Ｐゴシック"/>
      <family val="3"/>
      <charset val="128"/>
    </font>
    <font>
      <sz val="9"/>
      <name val="Meiryo UI"/>
      <family val="3"/>
      <charset val="128"/>
    </font>
    <font>
      <sz val="12"/>
      <name val="ＭＳ Ｐゴシック"/>
      <family val="3"/>
      <charset val="128"/>
    </font>
    <font>
      <b/>
      <sz val="9"/>
      <name val="Meiryo UI"/>
      <family val="3"/>
      <charset val="128"/>
    </font>
    <font>
      <sz val="9"/>
      <name val="ＭＳ Ｐゴシック"/>
      <family val="3"/>
      <charset val="128"/>
    </font>
    <font>
      <sz val="9"/>
      <color rgb="FF0000FF"/>
      <name val="Meiryo UI"/>
      <family val="3"/>
      <charset val="128"/>
    </font>
    <font>
      <sz val="10"/>
      <name val="Arial"/>
      <family val="2"/>
    </font>
    <font>
      <sz val="9"/>
      <color theme="1"/>
      <name val="ＭＳ 明朝"/>
      <family val="1"/>
      <charset val="128"/>
    </font>
    <font>
      <sz val="11"/>
      <color theme="1"/>
      <name val="游ゴシック"/>
      <family val="2"/>
      <scheme val="minor"/>
    </font>
    <font>
      <sz val="11"/>
      <color theme="1"/>
      <name val="Meiryo UI"/>
      <family val="2"/>
      <charset val="128"/>
    </font>
    <font>
      <sz val="12"/>
      <color theme="0" tint="-0.34998626667073579"/>
      <name val="ＭＳ Ｐゴシック"/>
      <family val="3"/>
      <charset val="128"/>
    </font>
    <font>
      <sz val="9"/>
      <color theme="0" tint="-0.34998626667073579"/>
      <name val="ＭＳ Ｐゴシック"/>
      <family val="3"/>
      <charset val="128"/>
    </font>
    <font>
      <sz val="9"/>
      <color theme="0" tint="-0.34998626667073579"/>
      <name val="Meiryo UI"/>
      <family val="3"/>
      <charset val="128"/>
    </font>
    <font>
      <b/>
      <sz val="18"/>
      <name val="ＭＳ Ｐゴシック"/>
      <family val="3"/>
      <charset val="128"/>
    </font>
    <font>
      <b/>
      <sz val="12"/>
      <name val="ＭＳ Ｐゴシック"/>
      <family val="3"/>
      <charset val="128"/>
    </font>
    <font>
      <b/>
      <sz val="12"/>
      <color indexed="12"/>
      <name val="ＭＳ Ｐゴシック"/>
      <family val="3"/>
      <charset val="128"/>
    </font>
    <font>
      <sz val="11"/>
      <color indexed="12"/>
      <name val="ＭＳ Ｐゴシック"/>
      <family val="3"/>
      <charset val="128"/>
    </font>
    <font>
      <b/>
      <sz val="10"/>
      <name val="ＭＳ Ｐゴシック"/>
      <family val="3"/>
      <charset val="128"/>
    </font>
    <font>
      <sz val="6"/>
      <name val="ＭＳ ゴシック"/>
      <family val="3"/>
      <charset val="128"/>
    </font>
    <font>
      <sz val="6"/>
      <name val="ＭＳ Ｐ明朝"/>
      <family val="1"/>
      <charset val="128"/>
    </font>
    <font>
      <sz val="10"/>
      <name val="ＭＳ Ｐゴシック"/>
      <family val="3"/>
      <charset val="128"/>
    </font>
    <font>
      <sz val="7"/>
      <name val="ＭＳ Ｐゴシック"/>
      <family val="3"/>
      <charset val="128"/>
    </font>
    <font>
      <sz val="12"/>
      <name val="Meiryo UI"/>
      <family val="3"/>
      <charset val="128"/>
    </font>
    <font>
      <b/>
      <sz val="12"/>
      <name val="Meiryo UI"/>
      <family val="3"/>
      <charset val="128"/>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ck">
        <color indexed="64"/>
      </left>
      <right style="thin">
        <color indexed="64"/>
      </right>
      <top style="hair">
        <color indexed="64"/>
      </top>
      <bottom style="hair">
        <color indexed="64"/>
      </bottom>
      <diagonal/>
    </border>
    <border>
      <left style="thin">
        <color indexed="64"/>
      </left>
      <right style="thick">
        <color indexed="64"/>
      </right>
      <top/>
      <bottom style="hair">
        <color indexed="64"/>
      </bottom>
      <diagonal/>
    </border>
    <border>
      <left style="thin">
        <color indexed="64"/>
      </left>
      <right style="thick">
        <color indexed="64"/>
      </right>
      <top style="hair">
        <color indexed="64"/>
      </top>
      <bottom style="hair">
        <color indexed="64"/>
      </bottom>
      <diagonal/>
    </border>
    <border>
      <left style="thick">
        <color indexed="64"/>
      </left>
      <right style="thin">
        <color indexed="64"/>
      </right>
      <top style="hair">
        <color indexed="64"/>
      </top>
      <bottom style="thick">
        <color indexed="64"/>
      </bottom>
      <diagonal/>
    </border>
    <border>
      <left style="thin">
        <color indexed="64"/>
      </left>
      <right style="thin">
        <color indexed="64"/>
      </right>
      <top style="hair">
        <color indexed="64"/>
      </top>
      <bottom style="thick">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ck">
        <color indexed="64"/>
      </top>
      <bottom style="thick">
        <color indexed="64"/>
      </bottom>
      <diagonal/>
    </border>
    <border>
      <left/>
      <right style="thin">
        <color indexed="64"/>
      </right>
      <top style="thick">
        <color indexed="64"/>
      </top>
      <bottom style="thick">
        <color indexed="64"/>
      </bottom>
      <diagonal/>
    </border>
  </borders>
  <cellStyleXfs count="27">
    <xf numFmtId="0" fontId="0" fillId="0" borderId="0"/>
    <xf numFmtId="0" fontId="6" fillId="0" borderId="0"/>
    <xf numFmtId="38" fontId="6" fillId="0" borderId="0" applyFont="0" applyFill="0" applyBorder="0" applyAlignment="0" applyProtection="0"/>
    <xf numFmtId="0" fontId="6" fillId="0" borderId="0"/>
    <xf numFmtId="38" fontId="6" fillId="0" borderId="0" applyFont="0" applyFill="0" applyBorder="0" applyAlignment="0" applyProtection="0"/>
    <xf numFmtId="0" fontId="13" fillId="0" borderId="0"/>
    <xf numFmtId="0" fontId="5" fillId="0" borderId="0">
      <alignment vertical="center"/>
    </xf>
    <xf numFmtId="0" fontId="14" fillId="0" borderId="0">
      <alignment vertical="center"/>
    </xf>
    <xf numFmtId="6" fontId="14" fillId="0" borderId="0" applyFont="0" applyFill="0" applyBorder="0" applyAlignment="0" applyProtection="0">
      <alignment vertical="center"/>
    </xf>
    <xf numFmtId="38" fontId="14" fillId="0" borderId="0" applyFont="0" applyFill="0" applyBorder="0" applyAlignment="0" applyProtection="0">
      <alignment vertical="center"/>
    </xf>
    <xf numFmtId="0" fontId="13" fillId="0" borderId="0"/>
    <xf numFmtId="0" fontId="4" fillId="0" borderId="0">
      <alignment vertical="center"/>
    </xf>
    <xf numFmtId="0" fontId="6" fillId="0" borderId="0">
      <alignment vertical="center"/>
    </xf>
    <xf numFmtId="0" fontId="4" fillId="0" borderId="0">
      <alignment vertical="center"/>
    </xf>
    <xf numFmtId="38" fontId="4" fillId="0" borderId="0" applyFont="0" applyFill="0" applyBorder="0" applyAlignment="0" applyProtection="0">
      <alignment vertical="center"/>
    </xf>
    <xf numFmtId="0" fontId="15" fillId="0" borderId="0"/>
    <xf numFmtId="38" fontId="3" fillId="0" borderId="0" applyFont="0" applyFill="0" applyBorder="0" applyAlignment="0" applyProtection="0">
      <alignment vertical="center"/>
    </xf>
    <xf numFmtId="38" fontId="6" fillId="0" borderId="0" applyFont="0" applyFill="0" applyBorder="0" applyAlignment="0" applyProtection="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6" fillId="0" borderId="0">
      <alignment vertical="center"/>
    </xf>
    <xf numFmtId="0" fontId="9" fillId="0" borderId="0"/>
    <xf numFmtId="38" fontId="6" fillId="0" borderId="0" applyFont="0" applyFill="0" applyBorder="0" applyAlignment="0" applyProtection="0">
      <alignment vertical="center"/>
    </xf>
  </cellStyleXfs>
  <cellXfs count="89">
    <xf numFmtId="0" fontId="0" fillId="0" borderId="0" xfId="0"/>
    <xf numFmtId="0" fontId="8" fillId="0" borderId="0" xfId="1" applyFont="1" applyAlignment="1" applyProtection="1">
      <alignment vertical="center"/>
      <protection locked="0"/>
    </xf>
    <xf numFmtId="0" fontId="11" fillId="0" borderId="0" xfId="0" applyFont="1" applyAlignment="1" applyProtection="1">
      <alignment vertical="center"/>
      <protection locked="0"/>
    </xf>
    <xf numFmtId="0" fontId="18" fillId="0" borderId="0" xfId="0" applyFont="1" applyAlignment="1" applyProtection="1">
      <alignment vertical="center"/>
      <protection locked="0"/>
    </xf>
    <xf numFmtId="0" fontId="11" fillId="0" borderId="0" xfId="0" applyFont="1" applyAlignment="1">
      <alignment horizontal="center" vertical="center" wrapText="1"/>
    </xf>
    <xf numFmtId="0" fontId="19" fillId="0" borderId="0" xfId="1" applyFont="1" applyAlignment="1" applyProtection="1">
      <alignment vertical="center"/>
      <protection locked="0"/>
    </xf>
    <xf numFmtId="0" fontId="8" fillId="0" borderId="0" xfId="0" applyFont="1" applyAlignment="1" applyProtection="1">
      <alignment vertical="center"/>
      <protection locked="0"/>
    </xf>
    <xf numFmtId="176" fontId="12" fillId="0" borderId="0" xfId="0" applyNumberFormat="1" applyFont="1" applyAlignment="1" applyProtection="1">
      <alignment vertical="center"/>
      <protection locked="0"/>
    </xf>
    <xf numFmtId="176" fontId="10" fillId="0" borderId="0" xfId="0" applyNumberFormat="1" applyFont="1" applyAlignment="1" applyProtection="1">
      <alignment horizontal="right" vertical="center"/>
      <protection locked="0"/>
    </xf>
    <xf numFmtId="176" fontId="8" fillId="0" borderId="0" xfId="0" applyNumberFormat="1" applyFont="1" applyAlignment="1" applyProtection="1">
      <alignment vertical="center"/>
      <protection locked="0"/>
    </xf>
    <xf numFmtId="0" fontId="19" fillId="0" borderId="0" xfId="0" applyFont="1" applyAlignment="1" applyProtection="1">
      <alignment vertical="center"/>
      <protection locked="0"/>
    </xf>
    <xf numFmtId="176" fontId="19" fillId="0" borderId="0" xfId="0" applyNumberFormat="1" applyFont="1" applyAlignment="1" applyProtection="1">
      <alignment vertical="center"/>
      <protection locked="0"/>
    </xf>
    <xf numFmtId="0" fontId="19" fillId="0" borderId="0" xfId="0" applyFont="1" applyAlignment="1" applyProtection="1">
      <alignment horizontal="center" vertical="center"/>
      <protection locked="0"/>
    </xf>
    <xf numFmtId="0" fontId="18" fillId="0" borderId="0" xfId="0" applyFont="1" applyAlignment="1" applyProtection="1">
      <alignment horizontal="center" vertical="center"/>
      <protection locked="0"/>
    </xf>
    <xf numFmtId="0" fontId="6" fillId="2" borderId="0" xfId="0" applyFont="1" applyFill="1"/>
    <xf numFmtId="0" fontId="21" fillId="2" borderId="0" xfId="0" applyFont="1" applyFill="1"/>
    <xf numFmtId="0" fontId="22" fillId="2" borderId="0" xfId="0" applyFont="1" applyFill="1"/>
    <xf numFmtId="0" fontId="23" fillId="2" borderId="0" xfId="0" applyFont="1" applyFill="1"/>
    <xf numFmtId="38" fontId="23" fillId="2" borderId="0" xfId="0" applyNumberFormat="1" applyFont="1" applyFill="1"/>
    <xf numFmtId="0" fontId="11" fillId="2" borderId="0" xfId="0" applyFont="1" applyFill="1" applyAlignment="1" applyProtection="1">
      <alignment vertical="center"/>
      <protection locked="0"/>
    </xf>
    <xf numFmtId="0" fontId="18" fillId="2" borderId="0" xfId="0" applyFont="1" applyFill="1" applyAlignment="1" applyProtection="1">
      <alignment horizontal="center" vertical="center"/>
      <protection locked="0"/>
    </xf>
    <xf numFmtId="0" fontId="18" fillId="2" borderId="0" xfId="0" applyFont="1" applyFill="1" applyAlignment="1" applyProtection="1">
      <alignment vertical="center"/>
      <protection locked="0"/>
    </xf>
    <xf numFmtId="0" fontId="8" fillId="3" borderId="0" xfId="1" applyFont="1" applyFill="1" applyAlignment="1" applyProtection="1">
      <alignment vertical="center"/>
      <protection locked="0"/>
    </xf>
    <xf numFmtId="0" fontId="11" fillId="3" borderId="0" xfId="0" applyFont="1" applyFill="1" applyAlignment="1" applyProtection="1">
      <alignment vertical="center"/>
      <protection locked="0"/>
    </xf>
    <xf numFmtId="0" fontId="8" fillId="3" borderId="0" xfId="0" applyFont="1" applyFill="1" applyAlignment="1" applyProtection="1">
      <alignment vertical="center"/>
      <protection locked="0"/>
    </xf>
    <xf numFmtId="176" fontId="12" fillId="3" borderId="0" xfId="0" applyNumberFormat="1" applyFont="1" applyFill="1" applyAlignment="1" applyProtection="1">
      <alignment vertical="center"/>
      <protection locked="0"/>
    </xf>
    <xf numFmtId="0" fontId="26" fillId="3" borderId="0" xfId="0" applyFont="1" applyFill="1"/>
    <xf numFmtId="0" fontId="9" fillId="4" borderId="0" xfId="0" applyFont="1" applyFill="1" applyAlignment="1" applyProtection="1">
      <alignment vertical="center"/>
      <protection locked="0"/>
    </xf>
    <xf numFmtId="0" fontId="20" fillId="4" borderId="0" xfId="25" applyFont="1" applyFill="1"/>
    <xf numFmtId="0" fontId="8" fillId="4" borderId="0" xfId="1" applyFont="1" applyFill="1" applyAlignment="1" applyProtection="1">
      <alignment vertical="center"/>
      <protection locked="0"/>
    </xf>
    <xf numFmtId="176" fontId="9" fillId="4" borderId="0" xfId="0" applyNumberFormat="1" applyFont="1" applyFill="1" applyAlignment="1" applyProtection="1">
      <alignment vertical="center"/>
      <protection locked="0"/>
    </xf>
    <xf numFmtId="0" fontId="17" fillId="4" borderId="0" xfId="0" applyFont="1" applyFill="1" applyAlignment="1" applyProtection="1">
      <alignment horizontal="center" vertical="center"/>
      <protection locked="0"/>
    </xf>
    <xf numFmtId="0" fontId="17" fillId="4" borderId="0" xfId="0" applyFont="1" applyFill="1" applyAlignment="1" applyProtection="1">
      <alignment vertical="center"/>
      <protection locked="0"/>
    </xf>
    <xf numFmtId="176" fontId="17" fillId="4" borderId="0" xfId="0" applyNumberFormat="1" applyFont="1" applyFill="1" applyAlignment="1" applyProtection="1">
      <alignment vertical="center"/>
      <protection locked="0"/>
    </xf>
    <xf numFmtId="0" fontId="11" fillId="4" borderId="0" xfId="0" applyFont="1" applyFill="1" applyAlignment="1" applyProtection="1">
      <alignment vertical="center"/>
      <protection locked="0"/>
    </xf>
    <xf numFmtId="0" fontId="10" fillId="4" borderId="0" xfId="0" applyFont="1" applyFill="1" applyAlignment="1" applyProtection="1">
      <alignment horizontal="center" vertical="center" wrapText="1"/>
      <protection locked="0"/>
    </xf>
    <xf numFmtId="177" fontId="10" fillId="4" borderId="0" xfId="0" applyNumberFormat="1" applyFont="1" applyFill="1" applyAlignment="1" applyProtection="1">
      <alignment vertical="center" wrapText="1"/>
      <protection locked="0"/>
    </xf>
    <xf numFmtId="176" fontId="10" fillId="4" borderId="0" xfId="0" applyNumberFormat="1" applyFont="1" applyFill="1" applyAlignment="1" applyProtection="1">
      <alignment vertical="center"/>
      <protection locked="0"/>
    </xf>
    <xf numFmtId="0" fontId="18" fillId="4" borderId="0" xfId="0" applyFont="1" applyFill="1" applyAlignment="1" applyProtection="1">
      <alignment vertical="center"/>
      <protection locked="0"/>
    </xf>
    <xf numFmtId="0" fontId="11" fillId="4" borderId="0" xfId="0" applyFont="1" applyFill="1" applyAlignment="1">
      <alignment horizontal="center" vertical="center" wrapText="1"/>
    </xf>
    <xf numFmtId="0" fontId="19" fillId="4" borderId="0" xfId="1" applyFont="1" applyFill="1" applyAlignment="1" applyProtection="1">
      <alignment vertical="center"/>
      <protection locked="0"/>
    </xf>
    <xf numFmtId="0" fontId="27" fillId="0" borderId="0" xfId="0" applyFont="1" applyAlignment="1" applyProtection="1">
      <alignment vertical="center"/>
      <protection locked="0"/>
    </xf>
    <xf numFmtId="0" fontId="29" fillId="3"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0" fontId="9" fillId="3" borderId="5" xfId="0" applyFont="1" applyFill="1" applyBorder="1" applyAlignment="1">
      <alignment horizontal="right"/>
    </xf>
    <xf numFmtId="0" fontId="27" fillId="0" borderId="2" xfId="0" applyFont="1" applyBorder="1" applyAlignment="1">
      <alignment horizontal="left"/>
    </xf>
    <xf numFmtId="176" fontId="10" fillId="4" borderId="0" xfId="1" applyNumberFormat="1" applyFont="1" applyFill="1" applyAlignment="1" applyProtection="1">
      <alignment horizontal="left" vertical="center" wrapText="1"/>
      <protection locked="0"/>
    </xf>
    <xf numFmtId="0" fontId="6" fillId="0" borderId="3" xfId="0" applyFont="1" applyBorder="1" applyAlignment="1">
      <alignment horizontal="center"/>
    </xf>
    <xf numFmtId="0" fontId="6" fillId="0" borderId="4" xfId="0" applyFont="1" applyBorder="1" applyAlignment="1">
      <alignment horizontal="center"/>
    </xf>
    <xf numFmtId="0" fontId="24" fillId="3" borderId="0" xfId="0" applyFont="1" applyFill="1" applyAlignment="1">
      <alignment horizontal="center" vertical="center" wrapText="1"/>
    </xf>
    <xf numFmtId="0" fontId="11" fillId="0" borderId="0" xfId="0" applyFont="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9" fillId="3" borderId="7" xfId="0" quotePrefix="1" applyFont="1" applyFill="1" applyBorder="1" applyAlignment="1">
      <alignment horizontal="right"/>
    </xf>
    <xf numFmtId="178" fontId="9" fillId="0" borderId="8" xfId="0" applyNumberFormat="1" applyFont="1" applyBorder="1" applyAlignment="1">
      <alignment horizontal="center"/>
    </xf>
    <xf numFmtId="178" fontId="9" fillId="0" borderId="9" xfId="0" applyNumberFormat="1" applyFont="1" applyBorder="1" applyAlignment="1">
      <alignment horizontal="center"/>
    </xf>
    <xf numFmtId="0" fontId="9" fillId="3" borderId="7" xfId="0" applyFont="1" applyFill="1" applyBorder="1" applyAlignment="1">
      <alignment horizontal="right"/>
    </xf>
    <xf numFmtId="0" fontId="28" fillId="3" borderId="10" xfId="0" applyFont="1" applyFill="1" applyBorder="1" applyAlignment="1">
      <alignment horizontal="right"/>
    </xf>
    <xf numFmtId="0" fontId="27" fillId="3" borderId="11" xfId="0" applyFont="1" applyFill="1" applyBorder="1" applyAlignment="1">
      <alignment horizontal="right"/>
    </xf>
    <xf numFmtId="0" fontId="27" fillId="0" borderId="11" xfId="0" applyFont="1" applyBorder="1" applyAlignment="1">
      <alignment horizontal="left" shrinkToFit="1"/>
    </xf>
    <xf numFmtId="0" fontId="6" fillId="0" borderId="12" xfId="0" applyFont="1" applyBorder="1" applyAlignment="1">
      <alignment horizontal="center"/>
    </xf>
    <xf numFmtId="0" fontId="6" fillId="0" borderId="13" xfId="0" applyFont="1" applyBorder="1" applyAlignment="1">
      <alignment horizontal="center"/>
    </xf>
    <xf numFmtId="178" fontId="27" fillId="0" borderId="14" xfId="0" applyNumberFormat="1" applyFont="1" applyBorder="1" applyAlignment="1">
      <alignment horizontal="center"/>
    </xf>
    <xf numFmtId="0" fontId="30" fillId="3" borderId="15" xfId="0" applyFont="1" applyFill="1" applyBorder="1" applyAlignment="1">
      <alignment horizontal="center" vertical="center"/>
    </xf>
    <xf numFmtId="0" fontId="29" fillId="0" borderId="16" xfId="0" applyFont="1" applyBorder="1" applyAlignment="1">
      <alignment horizontal="center" vertical="center" wrapText="1"/>
    </xf>
    <xf numFmtId="0" fontId="30" fillId="3" borderId="17" xfId="0" applyFont="1" applyFill="1" applyBorder="1" applyAlignment="1">
      <alignment horizontal="center" vertical="center"/>
    </xf>
    <xf numFmtId="0" fontId="29" fillId="3" borderId="18" xfId="0" applyFont="1" applyFill="1" applyBorder="1" applyAlignment="1">
      <alignment horizontal="center" vertical="center" wrapText="1"/>
    </xf>
    <xf numFmtId="0" fontId="29" fillId="0" borderId="18" xfId="0" applyFont="1" applyBorder="1" applyAlignment="1">
      <alignment horizontal="center" vertical="center" wrapText="1"/>
    </xf>
    <xf numFmtId="0" fontId="29" fillId="0" borderId="19" xfId="0" applyFont="1" applyBorder="1" applyAlignment="1">
      <alignment horizontal="center" vertical="center" wrapText="1"/>
    </xf>
    <xf numFmtId="0" fontId="30" fillId="3" borderId="20" xfId="0" applyFont="1" applyFill="1" applyBorder="1" applyAlignment="1">
      <alignment horizontal="center" vertical="center"/>
    </xf>
    <xf numFmtId="0" fontId="29" fillId="3" borderId="21" xfId="0" applyFont="1" applyFill="1" applyBorder="1" applyAlignment="1">
      <alignment horizontal="center" vertical="center" wrapText="1"/>
    </xf>
    <xf numFmtId="0" fontId="29" fillId="0" borderId="21" xfId="0" applyFont="1" applyBorder="1" applyAlignment="1">
      <alignment horizontal="center" vertical="center" wrapText="1"/>
    </xf>
    <xf numFmtId="0" fontId="29" fillId="0" borderId="21" xfId="0" applyFont="1" applyBorder="1" applyAlignment="1">
      <alignment horizontal="center" vertical="center"/>
    </xf>
    <xf numFmtId="0" fontId="29" fillId="0" borderId="22" xfId="0" applyFont="1" applyBorder="1" applyAlignment="1">
      <alignment horizontal="center" vertical="center" wrapText="1"/>
    </xf>
    <xf numFmtId="0" fontId="30" fillId="4" borderId="23" xfId="0" applyFont="1" applyFill="1" applyBorder="1" applyAlignment="1">
      <alignment horizontal="center" vertical="center"/>
    </xf>
    <xf numFmtId="0" fontId="10" fillId="4" borderId="24" xfId="0" applyFont="1" applyFill="1" applyBorder="1" applyAlignment="1">
      <alignment horizontal="center" vertical="center" wrapText="1"/>
    </xf>
    <xf numFmtId="0" fontId="10" fillId="4" borderId="24" xfId="0" applyFont="1" applyFill="1" applyBorder="1" applyAlignment="1">
      <alignment horizontal="center" vertical="center"/>
    </xf>
    <xf numFmtId="0" fontId="10" fillId="4" borderId="25" xfId="0" applyFont="1" applyFill="1" applyBorder="1" applyAlignment="1">
      <alignment horizontal="center" vertical="center" wrapText="1"/>
    </xf>
    <xf numFmtId="0" fontId="9" fillId="3" borderId="26" xfId="0" quotePrefix="1" applyFont="1" applyFill="1" applyBorder="1" applyAlignment="1">
      <alignment horizontal="right"/>
    </xf>
    <xf numFmtId="0" fontId="9" fillId="3" borderId="6" xfId="0" applyFont="1" applyFill="1" applyBorder="1" applyAlignment="1">
      <alignment horizontal="right"/>
    </xf>
    <xf numFmtId="0" fontId="27" fillId="0" borderId="6" xfId="0" applyFont="1" applyBorder="1" applyAlignment="1">
      <alignment horizontal="left"/>
    </xf>
    <xf numFmtId="0" fontId="6" fillId="0" borderId="27" xfId="0" applyFont="1" applyBorder="1" applyAlignment="1">
      <alignment horizontal="center"/>
    </xf>
    <xf numFmtId="0" fontId="6" fillId="0" borderId="28" xfId="0" applyFont="1" applyBorder="1" applyAlignment="1">
      <alignment horizontal="center"/>
    </xf>
    <xf numFmtId="0" fontId="24" fillId="3" borderId="23" xfId="0" applyFont="1" applyFill="1" applyBorder="1" applyAlignment="1">
      <alignment horizontal="center" vertical="center" wrapText="1"/>
    </xf>
    <xf numFmtId="0" fontId="24" fillId="3" borderId="24" xfId="0" applyFont="1" applyFill="1" applyBorder="1" applyAlignment="1">
      <alignment horizontal="center" vertical="center" wrapText="1"/>
    </xf>
    <xf numFmtId="0" fontId="24" fillId="0" borderId="24"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25" xfId="0" applyFont="1" applyBorder="1" applyAlignment="1">
      <alignment horizontal="center" vertical="center" wrapText="1"/>
    </xf>
  </cellXfs>
  <cellStyles count="27">
    <cellStyle name="パーセント 2" xfId="23" xr:uid="{6BD6EC06-97F7-46F1-B065-15EC03054C09}"/>
    <cellStyle name="桁区切り 2" xfId="2" xr:uid="{6D5B1C5A-67EB-49FA-AB64-FD176FE94E6C}"/>
    <cellStyle name="桁区切り 2 2" xfId="4" xr:uid="{3FA92367-7361-4F2E-B547-E27D64C5D7A3}"/>
    <cellStyle name="桁区切り 2 3" xfId="26" xr:uid="{B58B1F3E-AEBE-4BBC-A895-3F17EFCB6DBB}"/>
    <cellStyle name="桁区切り 3" xfId="9" xr:uid="{AE579EAC-0582-467C-A07E-F8E8C71856E6}"/>
    <cellStyle name="桁区切り 4" xfId="16" xr:uid="{C190F775-FF5B-4C4B-92A6-DDFA4C211C2C}"/>
    <cellStyle name="桁区切り 5" xfId="17" xr:uid="{48EB7DF9-9186-4FBB-8138-F2BA43CDD303}"/>
    <cellStyle name="桁区切り 9" xfId="14" xr:uid="{D0BC089B-C064-49D1-9296-0E34245C2D31}"/>
    <cellStyle name="桁区切り 9 2" xfId="20" xr:uid="{AD52B68F-E941-4EE9-BB36-0266A199C167}"/>
    <cellStyle name="桁区切り 9 3" xfId="22" xr:uid="{677DCF92-D3C2-4BBE-BBC2-4D5866807E5A}"/>
    <cellStyle name="通貨 3" xfId="8" xr:uid="{FFCD05BA-A412-4AB1-B165-A6C33DB9A2BE}"/>
    <cellStyle name="標準" xfId="0" builtinId="0"/>
    <cellStyle name="標準 2" xfId="1" xr:uid="{8E527BD4-0ABD-4D58-8464-6434FF2B93AE}"/>
    <cellStyle name="標準 2 2" xfId="10" xr:uid="{3B6103A0-4CDD-4DB7-8ACE-0E00C840715C}"/>
    <cellStyle name="標準 2 4" xfId="3" xr:uid="{D4D41ADD-3D88-4B03-AA4F-3802800A8092}"/>
    <cellStyle name="標準 3" xfId="5" xr:uid="{B949FCCC-2C91-4550-A02E-E233C3FE17BA}"/>
    <cellStyle name="標準 3 2" xfId="12" xr:uid="{E3F37BCC-A559-4619-81BD-43890855659E}"/>
    <cellStyle name="標準 4" xfId="6" xr:uid="{3161B9A5-9324-4D5A-AEFE-126A423B6620}"/>
    <cellStyle name="標準 4 2" xfId="7" xr:uid="{56B8E566-8538-4E94-B796-702E9A8A49CB}"/>
    <cellStyle name="標準 47" xfId="13" xr:uid="{C6806DEE-C59C-48AD-843A-0B9B14FA729E}"/>
    <cellStyle name="標準 47 2" xfId="19" xr:uid="{E94CCE2D-25EF-41CE-BE2F-125AF8960999}"/>
    <cellStyle name="標準 47 3" xfId="21" xr:uid="{27AD3885-9156-474F-87FC-4AD521C05B91}"/>
    <cellStyle name="標準 5" xfId="11" xr:uid="{AB7D9150-92E9-42E4-8FE7-6190A85F04E2}"/>
    <cellStyle name="標準 6" xfId="15" xr:uid="{3D751BA9-73BA-4D1C-B229-96D621EA3B61}"/>
    <cellStyle name="標準 7" xfId="18" xr:uid="{D8D2BAF6-A5C8-48B4-9E43-6F5B2F2189CA}"/>
    <cellStyle name="標準 8" xfId="24" xr:uid="{E54803C0-FA2C-4E05-86EA-9128ACFEF237}"/>
    <cellStyle name="標準 9" xfId="25" xr:uid="{AA0D7AF7-F7E2-42A5-9A11-30CD800414AE}"/>
  </cellStyles>
  <dxfs count="0"/>
  <tableStyles count="0" defaultTableStyle="TableStyleMedium2" defaultPivotStyle="PivotStyleLight16"/>
  <colors>
    <mruColors>
      <color rgb="FF3333FF"/>
      <color rgb="FFFFCCFF"/>
      <color rgb="FFCCFFFF"/>
      <color rgb="FFCC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customXml" Target="../customXml/item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3</xdr:col>
      <xdr:colOff>232080</xdr:colOff>
      <xdr:row>21</xdr:row>
      <xdr:rowOff>71897</xdr:rowOff>
    </xdr:from>
    <xdr:to>
      <xdr:col>5</xdr:col>
      <xdr:colOff>286774</xdr:colOff>
      <xdr:row>26</xdr:row>
      <xdr:rowOff>40966</xdr:rowOff>
    </xdr:to>
    <xdr:sp macro="" textlink="">
      <xdr:nvSpPr>
        <xdr:cNvPr id="3" name="四角形: 角を丸くする 2">
          <a:extLst>
            <a:ext uri="{FF2B5EF4-FFF2-40B4-BE49-F238E27FC236}">
              <a16:creationId xmlns:a16="http://schemas.microsoft.com/office/drawing/2014/main" id="{CD901769-D954-DDF2-34A7-EF440439698D}"/>
            </a:ext>
          </a:extLst>
        </xdr:cNvPr>
        <xdr:cNvSpPr/>
      </xdr:nvSpPr>
      <xdr:spPr>
        <a:xfrm>
          <a:off x="1901515" y="5428429"/>
          <a:ext cx="1928969" cy="68600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400" b="1">
              <a:solidFill>
                <a:srgbClr val="FF0000"/>
              </a:solidFill>
              <a:effectLst/>
              <a:latin typeface="+mn-lt"/>
              <a:ea typeface="+mn-ea"/>
              <a:cs typeface="+mn-cs"/>
            </a:rPr>
            <a:t>"</a:t>
          </a:r>
          <a:r>
            <a:rPr lang="ja-JP" altLang="ja-JP" sz="1400" b="1">
              <a:solidFill>
                <a:srgbClr val="FF0000"/>
              </a:solidFill>
              <a:effectLst/>
              <a:latin typeface="+mn-lt"/>
              <a:ea typeface="+mn-ea"/>
              <a:cs typeface="+mn-cs"/>
            </a:rPr>
            <a:t>キーワード項目列</a:t>
          </a:r>
          <a:r>
            <a:rPr lang="en-US" altLang="ja-JP" sz="1400" b="1">
              <a:solidFill>
                <a:srgbClr val="FF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400" b="1">
              <a:solidFill>
                <a:srgbClr val="FF0000"/>
              </a:solidFill>
              <a:effectLst/>
              <a:latin typeface="+mn-lt"/>
              <a:ea typeface="+mn-ea"/>
              <a:cs typeface="+mn-cs"/>
            </a:rPr>
            <a:t>["A", "B", "C"]</a:t>
          </a:r>
          <a:endParaRPr lang="ja-JP" altLang="ja-JP" sz="1400" b="1">
            <a:solidFill>
              <a:srgbClr val="FF0000"/>
            </a:solidFill>
            <a:effectLst/>
          </a:endParaRPr>
        </a:p>
        <a:p>
          <a:pPr algn="l"/>
          <a:endParaRPr kumimoji="1" lang="ja-JP" altLang="en-US" sz="1100"/>
        </a:p>
      </xdr:txBody>
    </xdr:sp>
    <xdr:clientData/>
  </xdr:twoCellAnchor>
  <xdr:twoCellAnchor>
    <xdr:from>
      <xdr:col>1</xdr:col>
      <xdr:colOff>681087</xdr:colOff>
      <xdr:row>21</xdr:row>
      <xdr:rowOff>81936</xdr:rowOff>
    </xdr:from>
    <xdr:to>
      <xdr:col>3</xdr:col>
      <xdr:colOff>276533</xdr:colOff>
      <xdr:row>24</xdr:row>
      <xdr:rowOff>0</xdr:rowOff>
    </xdr:to>
    <xdr:cxnSp macro="">
      <xdr:nvCxnSpPr>
        <xdr:cNvPr id="4" name="直線矢印コネクタ 3">
          <a:extLst>
            <a:ext uri="{FF2B5EF4-FFF2-40B4-BE49-F238E27FC236}">
              <a16:creationId xmlns:a16="http://schemas.microsoft.com/office/drawing/2014/main" id="{09E23508-50C8-1663-5CDA-727BFF1B9E1E}"/>
            </a:ext>
          </a:extLst>
        </xdr:cNvPr>
        <xdr:cNvCxnSpPr>
          <a:endCxn id="5" idx="1"/>
        </xdr:cNvCxnSpPr>
      </xdr:nvCxnSpPr>
      <xdr:spPr>
        <a:xfrm flipH="1" flipV="1">
          <a:off x="824474" y="5438468"/>
          <a:ext cx="1121494" cy="348226"/>
        </a:xfrm>
        <a:prstGeom prst="straightConnector1">
          <a:avLst/>
        </a:prstGeom>
        <a:ln w="19050">
          <a:solidFill>
            <a:srgbClr val="FF0000"/>
          </a:solidFill>
          <a:tailEnd type="stealth"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10240</xdr:colOff>
      <xdr:row>20</xdr:row>
      <xdr:rowOff>102420</xdr:rowOff>
    </xdr:from>
    <xdr:to>
      <xdr:col>2</xdr:col>
      <xdr:colOff>696451</xdr:colOff>
      <xdr:row>21</xdr:row>
      <xdr:rowOff>81936</xdr:rowOff>
    </xdr:to>
    <xdr:sp macro="" textlink="">
      <xdr:nvSpPr>
        <xdr:cNvPr id="5" name="右中かっこ 4">
          <a:extLst>
            <a:ext uri="{FF2B5EF4-FFF2-40B4-BE49-F238E27FC236}">
              <a16:creationId xmlns:a16="http://schemas.microsoft.com/office/drawing/2014/main" id="{DD2E3BB1-6E9C-E2AA-893D-44DBE34928F9}"/>
            </a:ext>
          </a:extLst>
        </xdr:cNvPr>
        <xdr:cNvSpPr/>
      </xdr:nvSpPr>
      <xdr:spPr>
        <a:xfrm rot="5400000">
          <a:off x="757902" y="4557661"/>
          <a:ext cx="133145" cy="1628469"/>
        </a:xfrm>
        <a:prstGeom prst="rightBrace">
          <a:avLst/>
        </a:prstGeom>
        <a:ln w="25400">
          <a:solidFill>
            <a:srgbClr val="FF000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xdr:col>
      <xdr:colOff>374238</xdr:colOff>
      <xdr:row>0</xdr:row>
      <xdr:rowOff>1</xdr:rowOff>
    </xdr:from>
    <xdr:to>
      <xdr:col>5</xdr:col>
      <xdr:colOff>428932</xdr:colOff>
      <xdr:row>2</xdr:row>
      <xdr:rowOff>0</xdr:rowOff>
    </xdr:to>
    <xdr:sp macro="" textlink="">
      <xdr:nvSpPr>
        <xdr:cNvPr id="8" name="四角形: 角を丸くする 7">
          <a:extLst>
            <a:ext uri="{FF2B5EF4-FFF2-40B4-BE49-F238E27FC236}">
              <a16:creationId xmlns:a16="http://schemas.microsoft.com/office/drawing/2014/main" id="{609BF78B-8BC4-4D53-ACE9-387263F57EE4}"/>
            </a:ext>
          </a:extLst>
        </xdr:cNvPr>
        <xdr:cNvSpPr/>
      </xdr:nvSpPr>
      <xdr:spPr>
        <a:xfrm>
          <a:off x="2043673" y="1"/>
          <a:ext cx="1928969" cy="6349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tIns="0" b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400" b="1">
              <a:solidFill>
                <a:srgbClr val="FF0000"/>
              </a:solidFill>
              <a:effectLst/>
              <a:latin typeface="+mn-lt"/>
              <a:ea typeface="+mn-ea"/>
              <a:cs typeface="+mn-cs"/>
            </a:rPr>
            <a:t>"</a:t>
          </a:r>
          <a:r>
            <a:rPr lang="ja-JP" altLang="ja-JP" sz="1400" b="1">
              <a:solidFill>
                <a:srgbClr val="FF0000"/>
              </a:solidFill>
              <a:effectLst/>
              <a:latin typeface="+mn-lt"/>
              <a:ea typeface="+mn-ea"/>
              <a:cs typeface="+mn-cs"/>
            </a:rPr>
            <a:t>キーワード項目</a:t>
          </a:r>
          <a:r>
            <a:rPr lang="ja-JP" altLang="en-US" sz="1400" b="1">
              <a:solidFill>
                <a:srgbClr val="FF0000"/>
              </a:solidFill>
              <a:effectLst/>
              <a:latin typeface="+mn-lt"/>
              <a:ea typeface="+mn-ea"/>
              <a:cs typeface="+mn-cs"/>
            </a:rPr>
            <a:t>行</a:t>
          </a:r>
          <a:r>
            <a:rPr lang="en-US" altLang="ja-JP" sz="1400" b="1">
              <a:solidFill>
                <a:srgbClr val="FF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400" b="1">
              <a:solidFill>
                <a:srgbClr val="FF0000"/>
              </a:solidFill>
              <a:effectLst/>
              <a:latin typeface="+mn-lt"/>
              <a:ea typeface="+mn-ea"/>
              <a:cs typeface="+mn-cs"/>
            </a:rPr>
            <a:t>[1, 2, 3]</a:t>
          </a:r>
          <a:endParaRPr lang="ja-JP" altLang="ja-JP" sz="1400" b="1">
            <a:solidFill>
              <a:srgbClr val="FF0000"/>
            </a:solidFill>
            <a:effectLst/>
          </a:endParaRPr>
        </a:p>
        <a:p>
          <a:pPr algn="l"/>
          <a:endParaRPr kumimoji="1" lang="ja-JP" altLang="en-US" sz="1100"/>
        </a:p>
      </xdr:txBody>
    </xdr:sp>
    <xdr:clientData/>
  </xdr:twoCellAnchor>
  <xdr:twoCellAnchor>
    <xdr:from>
      <xdr:col>0</xdr:col>
      <xdr:colOff>29495</xdr:colOff>
      <xdr:row>0</xdr:row>
      <xdr:rowOff>19255</xdr:rowOff>
    </xdr:from>
    <xdr:to>
      <xdr:col>1</xdr:col>
      <xdr:colOff>163871</xdr:colOff>
      <xdr:row>2</xdr:row>
      <xdr:rowOff>368709</xdr:rowOff>
    </xdr:to>
    <xdr:sp macro="" textlink="">
      <xdr:nvSpPr>
        <xdr:cNvPr id="9" name="右中かっこ 8">
          <a:extLst>
            <a:ext uri="{FF2B5EF4-FFF2-40B4-BE49-F238E27FC236}">
              <a16:creationId xmlns:a16="http://schemas.microsoft.com/office/drawing/2014/main" id="{D61EA426-87AD-44F4-8927-8C3AA8CA837D}"/>
            </a:ext>
          </a:extLst>
        </xdr:cNvPr>
        <xdr:cNvSpPr/>
      </xdr:nvSpPr>
      <xdr:spPr>
        <a:xfrm>
          <a:off x="29495" y="19255"/>
          <a:ext cx="277763" cy="984454"/>
        </a:xfrm>
        <a:prstGeom prst="rightBrace">
          <a:avLst/>
        </a:prstGeom>
        <a:ln w="25400">
          <a:solidFill>
            <a:srgbClr val="FF000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163871</xdr:colOff>
      <xdr:row>1</xdr:row>
      <xdr:rowOff>1</xdr:rowOff>
    </xdr:from>
    <xdr:to>
      <xdr:col>3</xdr:col>
      <xdr:colOff>374238</xdr:colOff>
      <xdr:row>1</xdr:row>
      <xdr:rowOff>193982</xdr:rowOff>
    </xdr:to>
    <xdr:cxnSp macro="">
      <xdr:nvCxnSpPr>
        <xdr:cNvPr id="10" name="直線矢印コネクタ 9">
          <a:extLst>
            <a:ext uri="{FF2B5EF4-FFF2-40B4-BE49-F238E27FC236}">
              <a16:creationId xmlns:a16="http://schemas.microsoft.com/office/drawing/2014/main" id="{F4D32A1D-6AD6-435C-B7AD-EAA5C967750E}"/>
            </a:ext>
          </a:extLst>
        </xdr:cNvPr>
        <xdr:cNvCxnSpPr>
          <a:stCxn id="8" idx="1"/>
          <a:endCxn id="9" idx="1"/>
        </xdr:cNvCxnSpPr>
      </xdr:nvCxnSpPr>
      <xdr:spPr>
        <a:xfrm flipH="1">
          <a:off x="307258" y="317501"/>
          <a:ext cx="1736415" cy="193981"/>
        </a:xfrm>
        <a:prstGeom prst="straightConnector1">
          <a:avLst/>
        </a:prstGeom>
        <a:ln w="19050">
          <a:solidFill>
            <a:srgbClr val="FF0000"/>
          </a:solidFill>
          <a:tailEnd type="stealth"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3484</xdr:colOff>
      <xdr:row>6</xdr:row>
      <xdr:rowOff>225322</xdr:rowOff>
    </xdr:from>
    <xdr:to>
      <xdr:col>15</xdr:col>
      <xdr:colOff>10243</xdr:colOff>
      <xdr:row>8</xdr:row>
      <xdr:rowOff>30726</xdr:rowOff>
    </xdr:to>
    <xdr:sp macro="" textlink="">
      <xdr:nvSpPr>
        <xdr:cNvPr id="15" name="四角形: 角を丸くする 14">
          <a:extLst>
            <a:ext uri="{FF2B5EF4-FFF2-40B4-BE49-F238E27FC236}">
              <a16:creationId xmlns:a16="http://schemas.microsoft.com/office/drawing/2014/main" id="{0FCA19D2-827C-75E1-A5E8-05169791FCA5}"/>
            </a:ext>
          </a:extLst>
        </xdr:cNvPr>
        <xdr:cNvSpPr/>
      </xdr:nvSpPr>
      <xdr:spPr>
        <a:xfrm>
          <a:off x="945742" y="1986935"/>
          <a:ext cx="9746840" cy="29701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122903</xdr:colOff>
      <xdr:row>10</xdr:row>
      <xdr:rowOff>344128</xdr:rowOff>
    </xdr:from>
    <xdr:to>
      <xdr:col>6</xdr:col>
      <xdr:colOff>727177</xdr:colOff>
      <xdr:row>19</xdr:row>
      <xdr:rowOff>20484</xdr:rowOff>
    </xdr:to>
    <xdr:sp macro="" textlink="">
      <xdr:nvSpPr>
        <xdr:cNvPr id="17" name="四角形: 角を丸くする 16">
          <a:extLst>
            <a:ext uri="{FF2B5EF4-FFF2-40B4-BE49-F238E27FC236}">
              <a16:creationId xmlns:a16="http://schemas.microsoft.com/office/drawing/2014/main" id="{7BC2C673-636C-CD79-E9EC-C48425A7E4B4}"/>
            </a:ext>
          </a:extLst>
        </xdr:cNvPr>
        <xdr:cNvSpPr/>
      </xdr:nvSpPr>
      <xdr:spPr>
        <a:xfrm>
          <a:off x="122903" y="3140176"/>
          <a:ext cx="4875161" cy="1857889"/>
        </a:xfrm>
        <a:prstGeom prst="roundRect">
          <a:avLst/>
        </a:prstGeom>
        <a:noFill/>
        <a:ln w="38100">
          <a:solidFill>
            <a:srgbClr val="00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727177</xdr:colOff>
      <xdr:row>13</xdr:row>
      <xdr:rowOff>93424</xdr:rowOff>
    </xdr:from>
    <xdr:to>
      <xdr:col>7</xdr:col>
      <xdr:colOff>571809</xdr:colOff>
      <xdr:row>14</xdr:row>
      <xdr:rowOff>218153</xdr:rowOff>
    </xdr:to>
    <xdr:cxnSp macro="">
      <xdr:nvCxnSpPr>
        <xdr:cNvPr id="18" name="直線矢印コネクタ 17">
          <a:extLst>
            <a:ext uri="{FF2B5EF4-FFF2-40B4-BE49-F238E27FC236}">
              <a16:creationId xmlns:a16="http://schemas.microsoft.com/office/drawing/2014/main" id="{2A254FE9-09DD-46B5-B6A6-99E3977557EC}"/>
            </a:ext>
          </a:extLst>
        </xdr:cNvPr>
        <xdr:cNvCxnSpPr>
          <a:endCxn id="17" idx="3"/>
        </xdr:cNvCxnSpPr>
      </xdr:nvCxnSpPr>
      <xdr:spPr>
        <a:xfrm flipH="1">
          <a:off x="4998064" y="3719069"/>
          <a:ext cx="582051" cy="350052"/>
        </a:xfrm>
        <a:prstGeom prst="straightConnector1">
          <a:avLst/>
        </a:prstGeom>
        <a:ln w="19050">
          <a:solidFill>
            <a:srgbClr val="0066FF"/>
          </a:solidFill>
          <a:tailEnd type="stealth"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571808</xdr:colOff>
      <xdr:row>12</xdr:row>
      <xdr:rowOff>135397</xdr:rowOff>
    </xdr:from>
    <xdr:to>
      <xdr:col>8</xdr:col>
      <xdr:colOff>378127</xdr:colOff>
      <xdr:row>14</xdr:row>
      <xdr:rowOff>10482</xdr:rowOff>
    </xdr:to>
    <xdr:sp macro="" textlink="">
      <xdr:nvSpPr>
        <xdr:cNvPr id="19" name="テキスト ボックス 18">
          <a:extLst>
            <a:ext uri="{FF2B5EF4-FFF2-40B4-BE49-F238E27FC236}">
              <a16:creationId xmlns:a16="http://schemas.microsoft.com/office/drawing/2014/main" id="{609B1FE4-8ADC-4DC3-037D-F8B4E10AD3EA}"/>
            </a:ext>
          </a:extLst>
        </xdr:cNvPr>
        <xdr:cNvSpPr txBox="1"/>
      </xdr:nvSpPr>
      <xdr:spPr>
        <a:xfrm>
          <a:off x="5580114" y="3535720"/>
          <a:ext cx="543739"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rgbClr val="0066FF"/>
              </a:solidFill>
            </a:rPr>
            <a:t>転記</a:t>
          </a:r>
        </a:p>
      </xdr:txBody>
    </xdr:sp>
    <xdr:clientData/>
  </xdr:twoCellAnchor>
  <xdr:twoCellAnchor>
    <xdr:from>
      <xdr:col>11</xdr:col>
      <xdr:colOff>83473</xdr:colOff>
      <xdr:row>9</xdr:row>
      <xdr:rowOff>149839</xdr:rowOff>
    </xdr:from>
    <xdr:to>
      <xdr:col>11</xdr:col>
      <xdr:colOff>628622</xdr:colOff>
      <xdr:row>10</xdr:row>
      <xdr:rowOff>250247</xdr:rowOff>
    </xdr:to>
    <xdr:sp macro="" textlink="">
      <xdr:nvSpPr>
        <xdr:cNvPr id="20" name="テキスト ボックス 19">
          <a:extLst>
            <a:ext uri="{FF2B5EF4-FFF2-40B4-BE49-F238E27FC236}">
              <a16:creationId xmlns:a16="http://schemas.microsoft.com/office/drawing/2014/main" id="{A745AD84-4440-D53E-5AAC-808B5A59C60D}"/>
            </a:ext>
          </a:extLst>
        </xdr:cNvPr>
        <xdr:cNvSpPr txBox="1"/>
      </xdr:nvSpPr>
      <xdr:spPr>
        <a:xfrm>
          <a:off x="7816134" y="2720565"/>
          <a:ext cx="545149"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rgbClr val="FF0000"/>
              </a:solidFill>
            </a:rPr>
            <a:t>集計</a:t>
          </a:r>
        </a:p>
      </xdr:txBody>
    </xdr:sp>
    <xdr:clientData/>
  </xdr:twoCellAnchor>
  <xdr:twoCellAnchor>
    <xdr:from>
      <xdr:col>10</xdr:col>
      <xdr:colOff>245806</xdr:colOff>
      <xdr:row>8</xdr:row>
      <xdr:rowOff>30726</xdr:rowOff>
    </xdr:from>
    <xdr:to>
      <xdr:col>11</xdr:col>
      <xdr:colOff>83473</xdr:colOff>
      <xdr:row>10</xdr:row>
      <xdr:rowOff>87382</xdr:rowOff>
    </xdr:to>
    <xdr:cxnSp macro="">
      <xdr:nvCxnSpPr>
        <xdr:cNvPr id="21" name="直線矢印コネクタ 20">
          <a:extLst>
            <a:ext uri="{FF2B5EF4-FFF2-40B4-BE49-F238E27FC236}">
              <a16:creationId xmlns:a16="http://schemas.microsoft.com/office/drawing/2014/main" id="{6BFF32CD-97F0-4A81-8501-40087023A451}"/>
            </a:ext>
          </a:extLst>
        </xdr:cNvPr>
        <xdr:cNvCxnSpPr>
          <a:stCxn id="20" idx="1"/>
        </xdr:cNvCxnSpPr>
      </xdr:nvCxnSpPr>
      <xdr:spPr>
        <a:xfrm flipH="1" flipV="1">
          <a:off x="7241048" y="2283952"/>
          <a:ext cx="575086" cy="599478"/>
        </a:xfrm>
        <a:prstGeom prst="straightConnector1">
          <a:avLst/>
        </a:prstGeom>
        <a:ln w="19050">
          <a:solidFill>
            <a:srgbClr val="FF0000"/>
          </a:solidFill>
          <a:tailEnd type="stealth" w="med"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TEMP\&#20182;&#35373;&#20633;&#35036;&#20462;&#23455;&#323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72402\&#20445;&#31649;&#31665;\&#36913;&#38291;&#24037;&#31243;&#20250;&#35696;\&#36913;&#38291;&#24037;&#31243;&#20250;&#35696;\&#32232;&#38598;&#37096;\0KEK\&#12360;&#12367;&#12379;&#12427;\&#20491;&#20154;&#36039;&#26009;\DATABASE\&#65432;&#65420;&#65384;&#65433;&#36039;&#26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chcgr-my.sharepoint.com/windows/TEMP/&#19978;&#26399;&#21029;&#22312;&#24235;&#25968;&#373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ata\EDMS&#20154;&#20107;&#35413;&#20385;\&#12463;&#12525;&#12473;&#35413;&#20385;\H13&#24180;&#24230;&#35036;&#20462;&#36027;&#23455;&#32318;&#35211;&#367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SEISAN\&#29983;&#29987;&#31649;&#29702;G\0200%20&#30707;&#28845;&#38656;&#32102;&#21697;&#36074;\&#30707;&#28845;&#65418;&#65438;&#65431;&#65437;&#65405;\TTZAIK\10&#24180;&#24230;\TTLZAIK10K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272402\&#36899;&#32097;&#31665;\temp%20\&#31119;&#20117;\&#38283;&#25918;&#65394;&#65437;&#65408;&#65392;\CR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nms91\kn-csr\Users\KNG4005\AppData\Local\Temp\notesFD2C40\Safeboo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ocuments%20and%20Settings\0759035\My%20Documents\&#24037;&#20107;&#36092;&#36023;&#12510;&#12473;&#12479;&#12540;&#35373;&#23450;\&#24037;&#20107;&#29992;&#36039;&#26448;&#12467;&#12540;&#12489;&#12510;&#12473;&#12479;&#12540;&#35373;&#23450;\MF_OS&#26032;&#36039;&#26448;&#12467;&#12540;&#12489;&#20184;&#30058;&#12523;&#12540;&#12523;02062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Q:\WINDOWS\&#65411;&#65438;&#65405;&#65400;&#65412;&#65391;&#65420;&#65439;\&#20849;&#26377;\%20RDS%20Complex&#20849;&#36890;&#36027;&#21407;&#2038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74918\&#12469;&#12540;&#12496;&#12540;\Documents%20and%20Settings\san02830\My%20Documents\&#22338;&#35199;\MCI\'03GA%20SDM\&#31309;&#31639;&#22612;&#27133;G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chcgr-my.sharepoint.com/Users/3118990/Box/101G030&#65306;&#65325;&#65315;&#65315;&#12288;&#65288;&#26412;&#31038;&#20849;&#36890;&#37096;&#38272;&#65289;&#12288;&#24773;&#22577;&#12471;&#12473;&#12486;&#12512;&#37096;/000.&#32068;&#32340;&#36939;&#21942;/20.&#32076;&#29702;&#38306;&#36899;/20.&#25903;&#25173;&#12539;&#25391;&#26367;&#65288;9&#24180;&#21066;&#38500;&#65289;/&#12464;&#12523;&#12540;&#12503;&#20250;&#31038;&#35531;&#27714;/2021Q1/2021Q1_G&#20250;&#31038;&#26989;&#21209;&#21463;&#35351;&#26009;&#12510;&#12463;&#12525;&#37329;&#38989;&#36899;&#32097;&#20966;&#29702;&#29992;_20210325.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Documents%20and%20Settings\kng1409\My%20Documents\Data\Ozawa\&#20104;&#31639;\991003\&#22312;&#2423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TEMP\Active\2000&#20013;&#26399;&#32076;&#21942;&#35336;&#30011;\Final\&#22823;&#38442;%202001%20&#20013;&#35336;&#20445;&#20840;&#36027;%20Back%20Data%20Final%20&#65288;2001.10.11&#6528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DOCUME~1\KNG4193\LOCALS~1\Temp\notesFD2C40\GRPZAIK09K0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272402\&#21697;&#36074;&#31649;&#29702;\WINDOWS\&#65411;&#65438;&#65405;&#65400;&#65412;&#65391;&#65420;&#65439;\&#65420;&#65438;&#65432;&#65392;&#65420;&#65401;&#65392;&#65405;\0KEK\&#12360;&#12367;&#12379;&#12427;\&#20491;&#20154;&#36039;&#26009;\DATABASE\&#65432;&#65420;&#65384;&#65433;&#36039;&#26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Data\hn&#20104;&#23450;&#34920;20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mcec210\g-mo\&#21508;&#31278;&#65408;&#65437;&#65400;&#38283;&#25918;&#21407;&#32025;&#39006;\&#24037;&#20107;&#27096;&#24335;\FB-9200A(&#22522;&#26412;&#24037;&#20107;)&#26045;&#24037;&#35201;&#38936;&#263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35336;&#30011;\1&#65400;&#65438;&#65433;&#65392;&#65420;&#65439;&#21029;&#65420;&#65387;&#65433;&#65408;&#65438;\0&#37197;&#31649;&#38745;&#27231;&#22120;&#65319;\&#20491;&#20154;\&#25165;&#26408;\2002&#26481;&#21271;&#30707;&#27833;\&#21407;&#20385;&#26908;&#35342;\&#20849;&#36890;&#3602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272402\&#24773;&#22577;box\2003&#24180;SDM\&#22806;&#27880;&#38306;&#20418;&#36039;&#26009;\&#23665;&#20061;&#12288;&#29872;&#22659;&#28204;&#2345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chcgr-my.sharepoint.com/Users/3118990/Box/3118990/&#20849;&#26377;&#29992;/IM&#25391;&#26367;&#20966;&#29702;&#29992;RPA&#20316;&#25104;&#20381;&#38972;/IM&#25391;&#26367;&#20966;&#29702;&#29992;Excel_vol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pc-0262\F\0&#36196;&#27810;\0&#27096;&#24335;&#39006;\&#12513;&#1251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274918\&#12469;&#12540;&#12496;&#12540;\Documents%20and%20Settings\san02830\My%20Documents\&#22338;&#35199;\MCI\'03GA%20SDM\&#31309;&#31639;&#26360;\&#23433;&#20840;&#24321;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274918\&#12469;&#12540;&#12496;&#12540;\Documents%20and%20Settings\san02830\My%20Documents\&#22338;&#35199;\&#31309;&#31639;&#65404;&#65405;&#65411;&#65425;\&#35211;&#31309;&#31309;&#31639;&#65404;&#65405;&#65411;&#65425;\&#31309;&#31639;AFC.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O:\Data\DATA\2002&#65374;&#20445;&#20840;&#36027;\2002&#24180;&#20104;&#31639;&#30003;&#35531;&#38306;&#20418;\H13&#65288;2001)-H16&#65288;2004)&#24180;&#24230;&#35036;&#20462;&#36027;&#20104;&#31639;&#38598;&#35336;&#36039;&#26009;&#65293;01_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CY"/>
      <sheetName val="8CY上"/>
      <sheetName val="8CY"/>
      <sheetName val="9上"/>
      <sheetName val="9CY"/>
      <sheetName val="10上 "/>
      <sheetName val="10CY"/>
      <sheetName val="11上"/>
      <sheetName val="11CY"/>
      <sheetName val="Sheet7"/>
      <sheetName val="Sheet8"/>
      <sheetName val="Sheet9"/>
      <sheetName val="Sheet10"/>
      <sheetName val="Sheet11"/>
      <sheetName val="Sheet12"/>
      <sheetName val="Sheet13"/>
      <sheetName val="Sheet14"/>
      <sheetName val="Sheet15"/>
      <sheetName val="Sheet16"/>
      <sheetName val="TRDTL"/>
      <sheetName val="MR"/>
      <sheetName val="ranking"/>
      <sheetName val="他設備補修実績"/>
      <sheetName val="Ｐ．２"/>
      <sheetName val="Ｐ．３"/>
      <sheetName val="集計表"/>
      <sheetName val="経費率"/>
      <sheetName val="Info"/>
      <sheetName val="Company"/>
      <sheetName val="Ｐ．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手帳資料"/>
      <sheetName val="日常保全定額"/>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グラフ"/>
      <sheetName val="数量"/>
    </sheetNames>
    <sheetDataSet>
      <sheetData sheetId="0">
        <row r="4">
          <cell r="M4">
            <v>31.5</v>
          </cell>
          <cell r="N4">
            <v>200</v>
          </cell>
          <cell r="O4">
            <v>1</v>
          </cell>
          <cell r="P4">
            <v>640</v>
          </cell>
        </row>
        <row r="5">
          <cell r="M5">
            <v>31.5</v>
          </cell>
          <cell r="N5">
            <v>720</v>
          </cell>
          <cell r="O5">
            <v>61.5</v>
          </cell>
          <cell r="P5">
            <v>640</v>
          </cell>
        </row>
        <row r="6">
          <cell r="M6">
            <v>61.5</v>
          </cell>
          <cell r="N6">
            <v>720</v>
          </cell>
          <cell r="O6">
            <v>61.5</v>
          </cell>
          <cell r="P6">
            <v>610</v>
          </cell>
        </row>
        <row r="7">
          <cell r="M7">
            <v>61.5</v>
          </cell>
          <cell r="N7">
            <v>200</v>
          </cell>
          <cell r="O7">
            <v>137</v>
          </cell>
          <cell r="P7">
            <v>610</v>
          </cell>
        </row>
        <row r="8">
          <cell r="M8">
            <v>92.5</v>
          </cell>
          <cell r="N8">
            <v>200</v>
          </cell>
          <cell r="O8">
            <v>137</v>
          </cell>
          <cell r="P8">
            <v>610</v>
          </cell>
        </row>
        <row r="9">
          <cell r="M9">
            <v>92.5</v>
          </cell>
          <cell r="N9">
            <v>720</v>
          </cell>
          <cell r="O9">
            <v>183</v>
          </cell>
          <cell r="P9">
            <v>610</v>
          </cell>
        </row>
        <row r="10">
          <cell r="M10">
            <v>123.5</v>
          </cell>
          <cell r="N10">
            <v>720</v>
          </cell>
        </row>
        <row r="11">
          <cell r="M11">
            <v>123.5</v>
          </cell>
          <cell r="N11">
            <v>200</v>
          </cell>
        </row>
        <row r="12">
          <cell r="M12">
            <v>152.5</v>
          </cell>
          <cell r="N12">
            <v>200</v>
          </cell>
        </row>
        <row r="13">
          <cell r="M13">
            <v>152.5</v>
          </cell>
          <cell r="N13">
            <v>720</v>
          </cell>
        </row>
        <row r="14">
          <cell r="M14">
            <v>184</v>
          </cell>
          <cell r="N14">
            <v>720</v>
          </cell>
        </row>
        <row r="15">
          <cell r="M15">
            <v>184</v>
          </cell>
          <cell r="N15">
            <v>200</v>
          </cell>
        </row>
        <row r="24">
          <cell r="M24">
            <v>31.5</v>
          </cell>
          <cell r="N24">
            <v>300</v>
          </cell>
          <cell r="O24">
            <v>1</v>
          </cell>
          <cell r="P24">
            <v>610</v>
          </cell>
        </row>
        <row r="25">
          <cell r="M25">
            <v>31.5</v>
          </cell>
          <cell r="N25">
            <v>720</v>
          </cell>
          <cell r="O25">
            <v>61.5</v>
          </cell>
          <cell r="P25">
            <v>610</v>
          </cell>
        </row>
        <row r="26">
          <cell r="M26">
            <v>61.5</v>
          </cell>
          <cell r="N26">
            <v>720</v>
          </cell>
          <cell r="O26">
            <v>61.5</v>
          </cell>
          <cell r="P26">
            <v>610</v>
          </cell>
        </row>
        <row r="27">
          <cell r="M27">
            <v>61.5</v>
          </cell>
          <cell r="N27">
            <v>300</v>
          </cell>
          <cell r="O27">
            <v>184</v>
          </cell>
          <cell r="P27">
            <v>610</v>
          </cell>
        </row>
        <row r="28">
          <cell r="M28">
            <v>62.5</v>
          </cell>
          <cell r="N28">
            <v>300</v>
          </cell>
        </row>
        <row r="29">
          <cell r="M29">
            <v>92.5</v>
          </cell>
          <cell r="N29">
            <v>720</v>
          </cell>
        </row>
        <row r="30">
          <cell r="M30">
            <v>123.5</v>
          </cell>
          <cell r="N30">
            <v>720</v>
          </cell>
        </row>
        <row r="31">
          <cell r="M31">
            <v>123.5</v>
          </cell>
          <cell r="N31">
            <v>300</v>
          </cell>
        </row>
        <row r="32">
          <cell r="M32">
            <v>152.5</v>
          </cell>
          <cell r="N32">
            <v>300</v>
          </cell>
        </row>
        <row r="33">
          <cell r="M33">
            <v>152.5</v>
          </cell>
          <cell r="N33">
            <v>720</v>
          </cell>
        </row>
        <row r="34">
          <cell r="M34">
            <v>184</v>
          </cell>
          <cell r="N34">
            <v>720</v>
          </cell>
        </row>
        <row r="35">
          <cell r="M35">
            <v>184</v>
          </cell>
          <cell r="N35">
            <v>300</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別実績予測(発電除く)"/>
      <sheetName val="発電実績予測"/>
      <sheetName val="解析用ｸﾞﾗﾌ"/>
      <sheetName val="ﾀﾝｸ定検ER"/>
      <sheetName val="触媒再生工事 ER"/>
      <sheetName val="PM及びOSMのER"/>
      <sheetName val="一般補修.XLS"/>
      <sheetName val="更新投資.X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グラフ"/>
      <sheetName val="数量"/>
    </sheetNames>
    <sheetDataSet>
      <sheetData sheetId="0"/>
      <sheetData sheetId="1">
        <row r="7">
          <cell r="E7">
            <v>563.12982590842898</v>
          </cell>
          <cell r="J7">
            <v>566.92818297305109</v>
          </cell>
          <cell r="O7">
            <v>-9.7574687246488203</v>
          </cell>
        </row>
        <row r="8">
          <cell r="E8">
            <v>553.3723571837802</v>
          </cell>
          <cell r="J8">
            <v>557.17071424840231</v>
          </cell>
          <cell r="O8">
            <v>-19.514937449297641</v>
          </cell>
        </row>
        <row r="9">
          <cell r="E9">
            <v>594.21488845913143</v>
          </cell>
          <cell r="J9">
            <v>547.41324552375352</v>
          </cell>
          <cell r="O9">
            <v>-29.272406173946461</v>
          </cell>
        </row>
        <row r="10">
          <cell r="E10">
            <v>584.45741973448264</v>
          </cell>
          <cell r="J10">
            <v>587.65577679910473</v>
          </cell>
          <cell r="O10">
            <v>-39.029874898595281</v>
          </cell>
        </row>
        <row r="11">
          <cell r="E11">
            <v>574.69995100983385</v>
          </cell>
          <cell r="J11">
            <v>647.89830807445594</v>
          </cell>
          <cell r="O11">
            <v>-48.787343623244098</v>
          </cell>
        </row>
        <row r="12">
          <cell r="E12">
            <v>632.54248228518509</v>
          </cell>
          <cell r="J12">
            <v>638.14083934980715</v>
          </cell>
          <cell r="O12">
            <v>-58.544812347892915</v>
          </cell>
        </row>
        <row r="13">
          <cell r="E13">
            <v>622.7850135605363</v>
          </cell>
          <cell r="J13">
            <v>628.38337062515836</v>
          </cell>
          <cell r="O13">
            <v>-68.302281072541732</v>
          </cell>
        </row>
        <row r="14">
          <cell r="E14">
            <v>613.02754483588751</v>
          </cell>
          <cell r="J14">
            <v>618.62590190050958</v>
          </cell>
          <cell r="O14">
            <v>-78.059749797190548</v>
          </cell>
        </row>
        <row r="15">
          <cell r="E15">
            <v>603.27007611123872</v>
          </cell>
          <cell r="J15">
            <v>608.86843317586079</v>
          </cell>
          <cell r="O15">
            <v>-87.817218521839365</v>
          </cell>
        </row>
        <row r="16">
          <cell r="E16">
            <v>596.51260738658993</v>
          </cell>
          <cell r="J16">
            <v>602.110964451212</v>
          </cell>
          <cell r="O16">
            <v>-97.574687246488182</v>
          </cell>
        </row>
        <row r="17">
          <cell r="E17">
            <v>586.75513866194115</v>
          </cell>
          <cell r="J17">
            <v>602.35349572656321</v>
          </cell>
          <cell r="O17">
            <v>-107.332155971137</v>
          </cell>
        </row>
        <row r="18">
          <cell r="E18">
            <v>576.99766993729236</v>
          </cell>
          <cell r="J18">
            <v>592.59602700191442</v>
          </cell>
          <cell r="O18">
            <v>-117.08962469578582</v>
          </cell>
        </row>
        <row r="19">
          <cell r="E19">
            <v>578.54020121264352</v>
          </cell>
          <cell r="J19">
            <v>582.83855827726563</v>
          </cell>
          <cell r="O19">
            <v>-126.84709342043463</v>
          </cell>
        </row>
        <row r="20">
          <cell r="E20">
            <v>568.78273248799474</v>
          </cell>
          <cell r="J20">
            <v>573.08108955261685</v>
          </cell>
          <cell r="O20">
            <v>-136.60456214508346</v>
          </cell>
        </row>
        <row r="21">
          <cell r="E21">
            <v>559.02526376334595</v>
          </cell>
          <cell r="J21">
            <v>613.32362082796806</v>
          </cell>
          <cell r="O21">
            <v>-146.36203086973228</v>
          </cell>
        </row>
        <row r="22">
          <cell r="E22">
            <v>549.26779503869716</v>
          </cell>
          <cell r="J22">
            <v>661.56615210331927</v>
          </cell>
          <cell r="O22">
            <v>-156.1194995943811</v>
          </cell>
        </row>
        <row r="23">
          <cell r="E23">
            <v>539.51032631404837</v>
          </cell>
          <cell r="J23">
            <v>651.80868337867048</v>
          </cell>
          <cell r="O23">
            <v>-165.87696831902991</v>
          </cell>
        </row>
        <row r="24">
          <cell r="E24">
            <v>579.75285758939958</v>
          </cell>
          <cell r="J24">
            <v>642.05121465402169</v>
          </cell>
          <cell r="O24">
            <v>-175.63443704367873</v>
          </cell>
        </row>
        <row r="25">
          <cell r="E25">
            <v>569.99538886475079</v>
          </cell>
          <cell r="J25">
            <v>632.2937459293729</v>
          </cell>
          <cell r="O25">
            <v>-185.39190576832755</v>
          </cell>
        </row>
        <row r="26">
          <cell r="E26">
            <v>563.23792014010201</v>
          </cell>
          <cell r="J26">
            <v>625.53627720472412</v>
          </cell>
          <cell r="O26">
            <v>-195.14937449297636</v>
          </cell>
        </row>
        <row r="27">
          <cell r="E27">
            <v>553.48045141545322</v>
          </cell>
          <cell r="J27">
            <v>615.77880848007533</v>
          </cell>
          <cell r="O27">
            <v>-204.90684321762518</v>
          </cell>
        </row>
        <row r="28">
          <cell r="E28">
            <v>599.52298269080438</v>
          </cell>
          <cell r="J28">
            <v>606.02133975542654</v>
          </cell>
          <cell r="O28">
            <v>-214.664311942274</v>
          </cell>
        </row>
        <row r="29">
          <cell r="E29">
            <v>589.76551396615559</v>
          </cell>
          <cell r="J29">
            <v>596.26387103077775</v>
          </cell>
          <cell r="O29">
            <v>-224.42178066692281</v>
          </cell>
        </row>
        <row r="30">
          <cell r="E30">
            <v>580.00804524150681</v>
          </cell>
          <cell r="J30">
            <v>586.50640230612896</v>
          </cell>
          <cell r="O30">
            <v>-234.17924939157163</v>
          </cell>
        </row>
        <row r="31">
          <cell r="E31">
            <v>570.25057651685802</v>
          </cell>
          <cell r="J31">
            <v>576.74893358148017</v>
          </cell>
          <cell r="O31">
            <v>-243.93671811622045</v>
          </cell>
        </row>
        <row r="32">
          <cell r="E32">
            <v>560.49310779220923</v>
          </cell>
          <cell r="J32">
            <v>566.99146485683139</v>
          </cell>
          <cell r="O32">
            <v>-253.69418684086926</v>
          </cell>
        </row>
        <row r="33">
          <cell r="E33">
            <v>550.73563906756044</v>
          </cell>
          <cell r="J33">
            <v>557.2339961321826</v>
          </cell>
          <cell r="O33">
            <v>-263.45165556551808</v>
          </cell>
        </row>
        <row r="34">
          <cell r="E34">
            <v>540.97817034291165</v>
          </cell>
          <cell r="J34">
            <v>547.47652740753381</v>
          </cell>
          <cell r="O34">
            <v>-273.20912429016693</v>
          </cell>
        </row>
        <row r="35">
          <cell r="E35">
            <v>531.22070161826286</v>
          </cell>
          <cell r="J35">
            <v>537.71905868288502</v>
          </cell>
          <cell r="O35">
            <v>-282.96659301481577</v>
          </cell>
        </row>
        <row r="36">
          <cell r="E36">
            <v>521.46323289361408</v>
          </cell>
          <cell r="J36">
            <v>527.96158995823623</v>
          </cell>
          <cell r="O36">
            <v>-292.72406173946462</v>
          </cell>
        </row>
        <row r="37">
          <cell r="E37">
            <v>511.68239122103387</v>
          </cell>
          <cell r="J37">
            <v>518.18074828565602</v>
          </cell>
          <cell r="O37">
            <v>-302.50490341204483</v>
          </cell>
        </row>
        <row r="38">
          <cell r="E38">
            <v>511.90154954845366</v>
          </cell>
          <cell r="J38">
            <v>568.39990661307581</v>
          </cell>
          <cell r="O38">
            <v>-312.28574508462503</v>
          </cell>
        </row>
        <row r="39">
          <cell r="E39">
            <v>502.12070787587345</v>
          </cell>
          <cell r="J39">
            <v>558.6190649404956</v>
          </cell>
          <cell r="O39">
            <v>-322.06658675720524</v>
          </cell>
        </row>
        <row r="40">
          <cell r="E40">
            <v>492.33986620329324</v>
          </cell>
          <cell r="J40">
            <v>548.8382232679154</v>
          </cell>
          <cell r="O40">
            <v>-331.84742842978545</v>
          </cell>
        </row>
        <row r="41">
          <cell r="E41">
            <v>482.55902453071303</v>
          </cell>
          <cell r="J41">
            <v>609.05738159533519</v>
          </cell>
          <cell r="O41">
            <v>-341.62827010236566</v>
          </cell>
        </row>
        <row r="42">
          <cell r="E42">
            <v>502.77818285813282</v>
          </cell>
          <cell r="J42">
            <v>629.27653992275498</v>
          </cell>
          <cell r="O42">
            <v>-351.40911177494587</v>
          </cell>
        </row>
        <row r="43">
          <cell r="E43">
            <v>576.99734118555261</v>
          </cell>
          <cell r="J43">
            <v>703.49569825017477</v>
          </cell>
          <cell r="O43">
            <v>-361.18995344752608</v>
          </cell>
        </row>
        <row r="44">
          <cell r="E44">
            <v>567.2164995129724</v>
          </cell>
          <cell r="J44">
            <v>693.71485657759456</v>
          </cell>
          <cell r="O44">
            <v>-370.97079512010629</v>
          </cell>
        </row>
        <row r="45">
          <cell r="E45">
            <v>557.4356578403922</v>
          </cell>
          <cell r="J45">
            <v>683.93401490501435</v>
          </cell>
          <cell r="O45">
            <v>-380.7516367926865</v>
          </cell>
        </row>
        <row r="46">
          <cell r="E46">
            <v>550.65481616781199</v>
          </cell>
          <cell r="J46">
            <v>695.15317323243414</v>
          </cell>
          <cell r="O46">
            <v>-390.53247846526671</v>
          </cell>
        </row>
        <row r="47">
          <cell r="E47">
            <v>540.87397449523178</v>
          </cell>
          <cell r="J47">
            <v>685.37233155985393</v>
          </cell>
          <cell r="O47">
            <v>-400.31332013784692</v>
          </cell>
        </row>
        <row r="48">
          <cell r="E48">
            <v>601.09313282265157</v>
          </cell>
          <cell r="J48">
            <v>675.59148988727372</v>
          </cell>
          <cell r="O48">
            <v>-410.09416181042712</v>
          </cell>
        </row>
        <row r="49">
          <cell r="E49">
            <v>591.31229115007136</v>
          </cell>
          <cell r="J49">
            <v>665.81064821469352</v>
          </cell>
          <cell r="O49">
            <v>-419.87500348300733</v>
          </cell>
        </row>
        <row r="50">
          <cell r="E50">
            <v>581.53144947749115</v>
          </cell>
          <cell r="J50">
            <v>747.02980654211331</v>
          </cell>
          <cell r="O50">
            <v>-429.65584515558754</v>
          </cell>
        </row>
        <row r="51">
          <cell r="E51">
            <v>589.75060780491094</v>
          </cell>
          <cell r="J51">
            <v>737.2489648695331</v>
          </cell>
          <cell r="O51">
            <v>-439.43668682816775</v>
          </cell>
        </row>
        <row r="52">
          <cell r="E52">
            <v>639.96976613233073</v>
          </cell>
          <cell r="J52">
            <v>727.46812319695289</v>
          </cell>
          <cell r="O52">
            <v>-449.21752850074796</v>
          </cell>
        </row>
        <row r="53">
          <cell r="E53">
            <v>630.18892445975052</v>
          </cell>
          <cell r="J53">
            <v>717.68728152437268</v>
          </cell>
          <cell r="O53">
            <v>-458.99837017332817</v>
          </cell>
        </row>
        <row r="54">
          <cell r="E54">
            <v>620.40808278717031</v>
          </cell>
          <cell r="J54">
            <v>707.90643985179247</v>
          </cell>
          <cell r="O54">
            <v>-468.77921184590838</v>
          </cell>
        </row>
        <row r="55">
          <cell r="E55">
            <v>610.62724111459011</v>
          </cell>
          <cell r="J55">
            <v>698.12559817921226</v>
          </cell>
          <cell r="O55">
            <v>-478.56005351848859</v>
          </cell>
        </row>
        <row r="56">
          <cell r="E56">
            <v>603.8463994420099</v>
          </cell>
          <cell r="J56">
            <v>691.34475650663205</v>
          </cell>
          <cell r="O56">
            <v>-488.3408951910688</v>
          </cell>
        </row>
        <row r="57">
          <cell r="E57">
            <v>594.06555776942969</v>
          </cell>
          <cell r="J57">
            <v>681.56391483405184</v>
          </cell>
          <cell r="O57">
            <v>-498.12173686364901</v>
          </cell>
        </row>
        <row r="58">
          <cell r="E58">
            <v>584.28471609684948</v>
          </cell>
          <cell r="J58">
            <v>671.78307316147163</v>
          </cell>
          <cell r="O58">
            <v>-507.90257853622921</v>
          </cell>
        </row>
        <row r="59">
          <cell r="E59">
            <v>574.50387442426927</v>
          </cell>
          <cell r="J59">
            <v>662.00223148889143</v>
          </cell>
          <cell r="O59">
            <v>-517.68342020880937</v>
          </cell>
        </row>
        <row r="60">
          <cell r="E60">
            <v>564.72303275168906</v>
          </cell>
          <cell r="J60">
            <v>652.22138981631122</v>
          </cell>
          <cell r="O60">
            <v>-527.46426188138958</v>
          </cell>
        </row>
        <row r="61">
          <cell r="E61">
            <v>554.94219107910885</v>
          </cell>
          <cell r="J61">
            <v>642.44054814373101</v>
          </cell>
          <cell r="O61">
            <v>-537.24510355396978</v>
          </cell>
        </row>
        <row r="62">
          <cell r="E62">
            <v>545.16134940652864</v>
          </cell>
          <cell r="J62">
            <v>632.6597064711508</v>
          </cell>
          <cell r="O62">
            <v>-547.02594522654999</v>
          </cell>
        </row>
        <row r="63">
          <cell r="E63">
            <v>535.38050773394843</v>
          </cell>
          <cell r="J63">
            <v>622.87886479857059</v>
          </cell>
          <cell r="O63">
            <v>-556.8067868991302</v>
          </cell>
        </row>
        <row r="64">
          <cell r="E64">
            <v>525.59966606136823</v>
          </cell>
          <cell r="J64">
            <v>613.09802312599038</v>
          </cell>
          <cell r="O64">
            <v>-566.58762857171041</v>
          </cell>
        </row>
        <row r="65">
          <cell r="E65">
            <v>515.81882438878802</v>
          </cell>
          <cell r="J65">
            <v>603.31718145341017</v>
          </cell>
          <cell r="O65">
            <v>-576.36847024429062</v>
          </cell>
        </row>
        <row r="66">
          <cell r="E66">
            <v>506.03798271620781</v>
          </cell>
          <cell r="J66">
            <v>593.53633978082996</v>
          </cell>
          <cell r="O66">
            <v>-586.14931191687083</v>
          </cell>
        </row>
        <row r="67">
          <cell r="E67">
            <v>587.2571410436276</v>
          </cell>
          <cell r="J67">
            <v>583.75549810824975</v>
          </cell>
          <cell r="O67">
            <v>-595.93015358945104</v>
          </cell>
        </row>
        <row r="68">
          <cell r="E68">
            <v>577.47290351198637</v>
          </cell>
          <cell r="J68">
            <v>573.97126057660853</v>
          </cell>
          <cell r="O68">
            <v>-605.71439112109226</v>
          </cell>
        </row>
        <row r="69">
          <cell r="E69">
            <v>597.68866598034515</v>
          </cell>
          <cell r="J69">
            <v>594.1870230449673</v>
          </cell>
          <cell r="O69">
            <v>-615.49862865273349</v>
          </cell>
        </row>
        <row r="70">
          <cell r="E70">
            <v>587.90442844870392</v>
          </cell>
          <cell r="J70">
            <v>584.40278551332608</v>
          </cell>
          <cell r="O70">
            <v>-625.28286618437471</v>
          </cell>
        </row>
        <row r="71">
          <cell r="E71">
            <v>578.1201909170627</v>
          </cell>
          <cell r="J71">
            <v>574.61854798168486</v>
          </cell>
          <cell r="O71">
            <v>-635.06710371601594</v>
          </cell>
        </row>
        <row r="72">
          <cell r="E72">
            <v>598.33595338542148</v>
          </cell>
          <cell r="J72">
            <v>594.83431045004363</v>
          </cell>
          <cell r="O72">
            <v>-644.85134124765716</v>
          </cell>
        </row>
        <row r="73">
          <cell r="E73">
            <v>588.55171585378025</v>
          </cell>
          <cell r="J73">
            <v>585.05007291840241</v>
          </cell>
          <cell r="O73">
            <v>-654.63557877929838</v>
          </cell>
        </row>
        <row r="74">
          <cell r="E74">
            <v>608.76747832213903</v>
          </cell>
          <cell r="J74">
            <v>575.26583538676118</v>
          </cell>
          <cell r="O74">
            <v>-664.41981631093961</v>
          </cell>
        </row>
        <row r="75">
          <cell r="E75">
            <v>598.9832407904978</v>
          </cell>
          <cell r="J75">
            <v>565.48159785511996</v>
          </cell>
          <cell r="O75">
            <v>-674.20405384258083</v>
          </cell>
        </row>
        <row r="76">
          <cell r="E76">
            <v>589.19900325885658</v>
          </cell>
          <cell r="J76">
            <v>555.69736032347873</v>
          </cell>
          <cell r="O76">
            <v>-683.98829137422206</v>
          </cell>
        </row>
        <row r="77">
          <cell r="E77">
            <v>582.41476572721535</v>
          </cell>
          <cell r="J77">
            <v>548.91312279183751</v>
          </cell>
          <cell r="O77">
            <v>-693.77252890586328</v>
          </cell>
        </row>
        <row r="78">
          <cell r="E78">
            <v>572.63052819557413</v>
          </cell>
          <cell r="J78">
            <v>539.12888526019628</v>
          </cell>
          <cell r="O78">
            <v>-703.55676643750451</v>
          </cell>
        </row>
        <row r="79">
          <cell r="E79">
            <v>562.8462906639329</v>
          </cell>
          <cell r="J79">
            <v>529.34464772855506</v>
          </cell>
          <cell r="O79">
            <v>-713.34100396914573</v>
          </cell>
        </row>
        <row r="80">
          <cell r="E80">
            <v>553.06205313229168</v>
          </cell>
          <cell r="J80">
            <v>519.56041019691384</v>
          </cell>
          <cell r="O80">
            <v>-723.12524150078696</v>
          </cell>
        </row>
        <row r="81">
          <cell r="E81">
            <v>543.27781560065046</v>
          </cell>
          <cell r="J81">
            <v>509.77617266527261</v>
          </cell>
          <cell r="O81">
            <v>-732.90947903242818</v>
          </cell>
        </row>
        <row r="82">
          <cell r="E82">
            <v>647.49357806900923</v>
          </cell>
          <cell r="J82">
            <v>583.99193513363139</v>
          </cell>
          <cell r="O82">
            <v>-742.6937165640694</v>
          </cell>
        </row>
        <row r="83">
          <cell r="E83">
            <v>637.70934053736801</v>
          </cell>
          <cell r="J83">
            <v>574.20769760199016</v>
          </cell>
          <cell r="O83">
            <v>-752.47795409571063</v>
          </cell>
        </row>
        <row r="84">
          <cell r="E84">
            <v>627.92510300572678</v>
          </cell>
          <cell r="J84">
            <v>564.42346007034894</v>
          </cell>
          <cell r="O84">
            <v>-762.26219162735185</v>
          </cell>
        </row>
        <row r="85">
          <cell r="E85">
            <v>618.14086547408556</v>
          </cell>
          <cell r="J85">
            <v>554.63922253870771</v>
          </cell>
          <cell r="O85">
            <v>-772.04642915899308</v>
          </cell>
        </row>
        <row r="86">
          <cell r="E86">
            <v>608.35662794244433</v>
          </cell>
          <cell r="J86">
            <v>544.85498500706649</v>
          </cell>
          <cell r="O86">
            <v>-781.8306666906343</v>
          </cell>
        </row>
        <row r="87">
          <cell r="E87">
            <v>601.57239041080311</v>
          </cell>
          <cell r="J87">
            <v>538.07074747542526</v>
          </cell>
          <cell r="O87">
            <v>-791.61490422227553</v>
          </cell>
        </row>
        <row r="88">
          <cell r="E88">
            <v>591.78815287916188</v>
          </cell>
          <cell r="J88">
            <v>528.28650994378404</v>
          </cell>
          <cell r="O88">
            <v>-801.39914175391675</v>
          </cell>
        </row>
        <row r="89">
          <cell r="E89">
            <v>602.00391534752066</v>
          </cell>
          <cell r="J89">
            <v>548.50227241214282</v>
          </cell>
          <cell r="O89">
            <v>-811.18337928555798</v>
          </cell>
        </row>
        <row r="90">
          <cell r="E90">
            <v>592.21967781587944</v>
          </cell>
          <cell r="J90">
            <v>538.71803488050159</v>
          </cell>
          <cell r="O90">
            <v>-820.9676168171992</v>
          </cell>
        </row>
        <row r="91">
          <cell r="E91">
            <v>582.43544028423821</v>
          </cell>
          <cell r="J91">
            <v>580.93379734886037</v>
          </cell>
          <cell r="O91">
            <v>-830.75185434884042</v>
          </cell>
        </row>
        <row r="92">
          <cell r="E92">
            <v>572.65120275259699</v>
          </cell>
          <cell r="J92">
            <v>571.14955981721914</v>
          </cell>
          <cell r="O92">
            <v>-840.53609188048165</v>
          </cell>
        </row>
        <row r="93">
          <cell r="E93">
            <v>562.86696522095576</v>
          </cell>
          <cell r="J93">
            <v>561.36532228557792</v>
          </cell>
          <cell r="O93">
            <v>-850.32032941212287</v>
          </cell>
        </row>
        <row r="94">
          <cell r="E94">
            <v>553.08272768931454</v>
          </cell>
          <cell r="J94">
            <v>551.58108475393669</v>
          </cell>
          <cell r="O94">
            <v>-860.1045669437641</v>
          </cell>
        </row>
        <row r="95">
          <cell r="E95">
            <v>543.29849015767331</v>
          </cell>
          <cell r="J95">
            <v>541.79684722229547</v>
          </cell>
          <cell r="O95">
            <v>-869.88880447540532</v>
          </cell>
        </row>
        <row r="96">
          <cell r="E96">
            <v>533.51425262603209</v>
          </cell>
          <cell r="J96">
            <v>532.01260969065424</v>
          </cell>
          <cell r="O96">
            <v>-879.67304200704655</v>
          </cell>
        </row>
        <row r="97">
          <cell r="E97">
            <v>523.73001509439086</v>
          </cell>
          <cell r="J97">
            <v>522.22837215901302</v>
          </cell>
          <cell r="O97">
            <v>-889.45727953868777</v>
          </cell>
        </row>
        <row r="98">
          <cell r="E98">
            <v>513.88280341621146</v>
          </cell>
          <cell r="J98">
            <v>512.38116048083361</v>
          </cell>
          <cell r="O98">
            <v>-899.30449121686718</v>
          </cell>
        </row>
        <row r="99">
          <cell r="E99">
            <v>504.03559173803205</v>
          </cell>
          <cell r="J99">
            <v>502.53394880265421</v>
          </cell>
          <cell r="O99">
            <v>-909.15170289504658</v>
          </cell>
        </row>
        <row r="100">
          <cell r="E100">
            <v>564.18838005985265</v>
          </cell>
          <cell r="J100">
            <v>492.6867371244748</v>
          </cell>
          <cell r="O100">
            <v>-918.99891457322599</v>
          </cell>
        </row>
        <row r="101">
          <cell r="E101">
            <v>624.34116838167324</v>
          </cell>
          <cell r="J101">
            <v>532.8395254462954</v>
          </cell>
          <cell r="O101">
            <v>-928.84612625140539</v>
          </cell>
        </row>
        <row r="102">
          <cell r="E102">
            <v>654.49395670349384</v>
          </cell>
          <cell r="J102">
            <v>562.99231376811599</v>
          </cell>
          <cell r="O102">
            <v>-938.6933379295848</v>
          </cell>
        </row>
        <row r="103">
          <cell r="E103">
            <v>644.64674502531443</v>
          </cell>
          <cell r="J103">
            <v>553.14510208993659</v>
          </cell>
          <cell r="O103">
            <v>-948.54054960776421</v>
          </cell>
        </row>
        <row r="104">
          <cell r="E104">
            <v>725.79953334713502</v>
          </cell>
          <cell r="J104">
            <v>543.29789041175718</v>
          </cell>
          <cell r="O104">
            <v>-958.38776128594361</v>
          </cell>
        </row>
        <row r="105">
          <cell r="E105">
            <v>715.95232166895562</v>
          </cell>
          <cell r="J105">
            <v>533.45067873357777</v>
          </cell>
          <cell r="O105">
            <v>-968.23497296412302</v>
          </cell>
        </row>
        <row r="106">
          <cell r="E106">
            <v>706.10510999077621</v>
          </cell>
          <cell r="J106">
            <v>523.60346705539837</v>
          </cell>
          <cell r="O106">
            <v>-978.08218464230242</v>
          </cell>
        </row>
        <row r="107">
          <cell r="E107">
            <v>729.25789831259681</v>
          </cell>
          <cell r="J107">
            <v>546.75625537721896</v>
          </cell>
          <cell r="O107">
            <v>-987.92939632048183</v>
          </cell>
        </row>
        <row r="108">
          <cell r="E108">
            <v>719.4106866344174</v>
          </cell>
          <cell r="J108">
            <v>536.90904369903956</v>
          </cell>
          <cell r="O108">
            <v>-997.77660799866123</v>
          </cell>
        </row>
        <row r="109">
          <cell r="E109">
            <v>709.563474956238</v>
          </cell>
          <cell r="J109">
            <v>527.06183202086015</v>
          </cell>
          <cell r="O109">
            <v>-1007.6238196768406</v>
          </cell>
        </row>
        <row r="110">
          <cell r="E110">
            <v>699.71626327805859</v>
          </cell>
          <cell r="J110">
            <v>517.21462034268075</v>
          </cell>
          <cell r="O110">
            <v>-1017.47103135502</v>
          </cell>
        </row>
        <row r="111">
          <cell r="E111">
            <v>689.86905159987919</v>
          </cell>
          <cell r="J111">
            <v>507.36740866450134</v>
          </cell>
          <cell r="O111">
            <v>-1027.3182430331995</v>
          </cell>
        </row>
        <row r="112">
          <cell r="E112">
            <v>680.02183992169978</v>
          </cell>
          <cell r="J112">
            <v>497.52019698632193</v>
          </cell>
          <cell r="O112">
            <v>-1037.165454711379</v>
          </cell>
        </row>
        <row r="113">
          <cell r="E113">
            <v>670.17462824352037</v>
          </cell>
          <cell r="J113">
            <v>487.67298530814253</v>
          </cell>
          <cell r="O113">
            <v>-1047.0126663895585</v>
          </cell>
        </row>
        <row r="114">
          <cell r="E114">
            <v>690.32741656534097</v>
          </cell>
          <cell r="J114">
            <v>507.82577362996312</v>
          </cell>
          <cell r="O114">
            <v>-1056.859878067738</v>
          </cell>
        </row>
        <row r="115">
          <cell r="E115">
            <v>680.48020488716156</v>
          </cell>
          <cell r="J115">
            <v>497.97856195178372</v>
          </cell>
          <cell r="O115">
            <v>-1066.7070897459175</v>
          </cell>
        </row>
        <row r="116">
          <cell r="E116">
            <v>670.63299320898216</v>
          </cell>
          <cell r="J116">
            <v>488.13135027360431</v>
          </cell>
          <cell r="O116">
            <v>-1076.554301424097</v>
          </cell>
        </row>
        <row r="117">
          <cell r="E117">
            <v>713.78578153080275</v>
          </cell>
          <cell r="J117">
            <v>551.28413859542491</v>
          </cell>
          <cell r="O117">
            <v>-1086.4015131022766</v>
          </cell>
        </row>
        <row r="118">
          <cell r="E118">
            <v>703.93856985262335</v>
          </cell>
          <cell r="J118">
            <v>541.4369269172455</v>
          </cell>
          <cell r="O118">
            <v>-1096.2487247804561</v>
          </cell>
        </row>
        <row r="119">
          <cell r="E119">
            <v>694.09135817444394</v>
          </cell>
          <cell r="J119">
            <v>531.58971523906609</v>
          </cell>
          <cell r="O119">
            <v>-1106.0959364586356</v>
          </cell>
        </row>
        <row r="120">
          <cell r="E120">
            <v>684.24414649626453</v>
          </cell>
          <cell r="J120">
            <v>521.74250356088669</v>
          </cell>
          <cell r="O120">
            <v>-1115.9431481368151</v>
          </cell>
        </row>
        <row r="121">
          <cell r="E121">
            <v>674.39693481808513</v>
          </cell>
          <cell r="J121">
            <v>511.89529188270728</v>
          </cell>
          <cell r="O121">
            <v>-1125.7903598149946</v>
          </cell>
        </row>
        <row r="122">
          <cell r="E122">
            <v>674.54972313990572</v>
          </cell>
          <cell r="J122">
            <v>502.04808020452788</v>
          </cell>
          <cell r="O122">
            <v>-1135.6375714931742</v>
          </cell>
        </row>
        <row r="123">
          <cell r="E123">
            <v>664.70251146172632</v>
          </cell>
          <cell r="J123">
            <v>492.20086852634847</v>
          </cell>
          <cell r="O123">
            <v>-1145.4847831713537</v>
          </cell>
        </row>
        <row r="124">
          <cell r="E124">
            <v>654.85529978354691</v>
          </cell>
          <cell r="J124">
            <v>482.35365684816907</v>
          </cell>
          <cell r="O124">
            <v>-1155.3319948495332</v>
          </cell>
        </row>
        <row r="125">
          <cell r="E125">
            <v>645.00808810536751</v>
          </cell>
          <cell r="J125">
            <v>472.50644516998966</v>
          </cell>
          <cell r="O125">
            <v>-1165.1792065277127</v>
          </cell>
        </row>
        <row r="126">
          <cell r="E126">
            <v>635.1608764271881</v>
          </cell>
          <cell r="J126">
            <v>462.65923349181026</v>
          </cell>
          <cell r="O126">
            <v>-1175.0264182058922</v>
          </cell>
        </row>
        <row r="127">
          <cell r="E127">
            <v>625.31366474900869</v>
          </cell>
          <cell r="J127">
            <v>452.81202181363085</v>
          </cell>
          <cell r="O127">
            <v>-1184.8736298840718</v>
          </cell>
        </row>
        <row r="128">
          <cell r="E128">
            <v>615.46645307082929</v>
          </cell>
          <cell r="J128">
            <v>442.96481013545144</v>
          </cell>
          <cell r="O128">
            <v>-1194.7208415622513</v>
          </cell>
        </row>
        <row r="129">
          <cell r="E129">
            <v>605.73074653339495</v>
          </cell>
          <cell r="J129">
            <v>433.22910359801705</v>
          </cell>
          <cell r="O129">
            <v>-1204.4565480996857</v>
          </cell>
        </row>
        <row r="130">
          <cell r="E130">
            <v>595.9950399959605</v>
          </cell>
          <cell r="J130">
            <v>514.49339706058254</v>
          </cell>
          <cell r="O130">
            <v>-1214.1922546371202</v>
          </cell>
        </row>
        <row r="131">
          <cell r="E131">
            <v>586.25933345852604</v>
          </cell>
          <cell r="J131">
            <v>504.75769052314814</v>
          </cell>
          <cell r="O131">
            <v>-1223.9279611745546</v>
          </cell>
        </row>
        <row r="132">
          <cell r="E132">
            <v>686.52362692109159</v>
          </cell>
          <cell r="J132">
            <v>535.02198398571363</v>
          </cell>
          <cell r="O132">
            <v>-1233.6636677119891</v>
          </cell>
        </row>
        <row r="133">
          <cell r="E133">
            <v>676.78792038365714</v>
          </cell>
          <cell r="J133">
            <v>535.28627744827918</v>
          </cell>
          <cell r="O133">
            <v>-1243.3993742494235</v>
          </cell>
        </row>
        <row r="134">
          <cell r="E134">
            <v>667.05221384622268</v>
          </cell>
          <cell r="J134">
            <v>525.55057091084473</v>
          </cell>
          <cell r="O134">
            <v>-1253.135080786858</v>
          </cell>
        </row>
        <row r="135">
          <cell r="E135">
            <v>727.31650730878823</v>
          </cell>
          <cell r="J135">
            <v>585.81486437341027</v>
          </cell>
          <cell r="O135">
            <v>-1262.8707873242925</v>
          </cell>
        </row>
        <row r="136">
          <cell r="E136">
            <v>737.58080077135378</v>
          </cell>
          <cell r="J136">
            <v>596.07915783597582</v>
          </cell>
          <cell r="O136">
            <v>-1272.6064938617269</v>
          </cell>
        </row>
        <row r="137">
          <cell r="E137">
            <v>727.84509423391933</v>
          </cell>
          <cell r="J137">
            <v>586.34345129854137</v>
          </cell>
          <cell r="O137">
            <v>-1282.3422003991614</v>
          </cell>
        </row>
        <row r="138">
          <cell r="E138">
            <v>721.10938769648487</v>
          </cell>
          <cell r="J138">
            <v>579.60774476110691</v>
          </cell>
          <cell r="O138">
            <v>-1292.0779069365958</v>
          </cell>
        </row>
        <row r="139">
          <cell r="E139">
            <v>711.37368115905042</v>
          </cell>
          <cell r="J139">
            <v>569.87203822367246</v>
          </cell>
          <cell r="O139">
            <v>-1301.8136134740303</v>
          </cell>
        </row>
        <row r="140">
          <cell r="E140">
            <v>701.63797462161597</v>
          </cell>
          <cell r="J140">
            <v>560.13633168623801</v>
          </cell>
          <cell r="O140">
            <v>-1311.5493200114647</v>
          </cell>
        </row>
        <row r="141">
          <cell r="E141">
            <v>691.90226808418151</v>
          </cell>
          <cell r="J141">
            <v>550.40062514880356</v>
          </cell>
          <cell r="O141">
            <v>-1321.2850265488992</v>
          </cell>
        </row>
        <row r="142">
          <cell r="E142">
            <v>682.16656154674706</v>
          </cell>
          <cell r="J142">
            <v>540.6649186113691</v>
          </cell>
          <cell r="O142">
            <v>-1331.0207330863336</v>
          </cell>
        </row>
        <row r="143">
          <cell r="E143">
            <v>672.43085500931261</v>
          </cell>
          <cell r="J143">
            <v>530.92921207393465</v>
          </cell>
          <cell r="O143">
            <v>-1340.7564396237681</v>
          </cell>
        </row>
        <row r="144">
          <cell r="E144">
            <v>662.69514847187816</v>
          </cell>
          <cell r="J144">
            <v>521.1935055365002</v>
          </cell>
          <cell r="O144">
            <v>-1350.4921461612025</v>
          </cell>
        </row>
        <row r="145">
          <cell r="E145">
            <v>652.9594419344437</v>
          </cell>
          <cell r="J145">
            <v>511.4577989990658</v>
          </cell>
          <cell r="O145">
            <v>-1360.227852698637</v>
          </cell>
        </row>
        <row r="146">
          <cell r="E146">
            <v>734.22373539700925</v>
          </cell>
          <cell r="J146">
            <v>501.72209246163141</v>
          </cell>
          <cell r="O146">
            <v>-1369.9635592360714</v>
          </cell>
        </row>
        <row r="147">
          <cell r="E147">
            <v>724.4880288595748</v>
          </cell>
          <cell r="J147">
            <v>491.98638592419701</v>
          </cell>
          <cell r="O147">
            <v>-1379.6992657735059</v>
          </cell>
        </row>
        <row r="148">
          <cell r="E148">
            <v>717.75232232214034</v>
          </cell>
          <cell r="J148">
            <v>485.25067938676261</v>
          </cell>
          <cell r="O148">
            <v>-1389.4349723109403</v>
          </cell>
        </row>
        <row r="149">
          <cell r="E149">
            <v>708.01661578470589</v>
          </cell>
          <cell r="J149">
            <v>475.51497284932822</v>
          </cell>
          <cell r="O149">
            <v>-1399.1706788483748</v>
          </cell>
        </row>
        <row r="150">
          <cell r="E150">
            <v>698.28090924727144</v>
          </cell>
          <cell r="J150">
            <v>465.77926631189382</v>
          </cell>
          <cell r="O150">
            <v>-1408.9063853858092</v>
          </cell>
        </row>
        <row r="151">
          <cell r="E151">
            <v>688.54520270983699</v>
          </cell>
          <cell r="J151">
            <v>456.04355977445942</v>
          </cell>
          <cell r="O151">
            <v>-1418.6420919232437</v>
          </cell>
        </row>
        <row r="152">
          <cell r="E152">
            <v>678.80949617240253</v>
          </cell>
          <cell r="J152">
            <v>446.30785323702503</v>
          </cell>
          <cell r="O152">
            <v>-1428.3777984606782</v>
          </cell>
        </row>
        <row r="153">
          <cell r="E153">
            <v>719.07378963496808</v>
          </cell>
          <cell r="J153">
            <v>486.57214669959063</v>
          </cell>
          <cell r="O153">
            <v>-1438.1135049981126</v>
          </cell>
        </row>
        <row r="154">
          <cell r="E154">
            <v>709.33808309753363</v>
          </cell>
          <cell r="J154">
            <v>476.83644016215624</v>
          </cell>
          <cell r="O154">
            <v>-1447.8492115355471</v>
          </cell>
        </row>
        <row r="155">
          <cell r="E155">
            <v>699.60237656009917</v>
          </cell>
          <cell r="J155">
            <v>467.10073362472184</v>
          </cell>
          <cell r="O155">
            <v>-1457.5849180729815</v>
          </cell>
        </row>
        <row r="156">
          <cell r="E156">
            <v>689.86667002266472</v>
          </cell>
          <cell r="J156">
            <v>457.36502708728744</v>
          </cell>
          <cell r="O156">
            <v>-1467.320624610416</v>
          </cell>
        </row>
        <row r="157">
          <cell r="E157">
            <v>680.13096348523027</v>
          </cell>
          <cell r="J157">
            <v>447.62932054985305</v>
          </cell>
          <cell r="O157">
            <v>-1477.0563311478504</v>
          </cell>
        </row>
        <row r="158">
          <cell r="E158">
            <v>670.39525694779581</v>
          </cell>
          <cell r="J158">
            <v>437.89361401241865</v>
          </cell>
          <cell r="O158">
            <v>-1486.7920376852849</v>
          </cell>
        </row>
        <row r="159">
          <cell r="E159">
            <v>660.65955041036136</v>
          </cell>
          <cell r="J159">
            <v>428.15790747498426</v>
          </cell>
          <cell r="O159">
            <v>-1496.5277442227193</v>
          </cell>
        </row>
        <row r="160">
          <cell r="E160">
            <v>650.85163995456844</v>
          </cell>
          <cell r="J160">
            <v>418.34999701919133</v>
          </cell>
          <cell r="O160">
            <v>-1506.3356546785124</v>
          </cell>
        </row>
        <row r="161">
          <cell r="E161">
            <v>641.04372949877552</v>
          </cell>
          <cell r="J161">
            <v>408.54208656339841</v>
          </cell>
          <cell r="O161">
            <v>-1516.1435651343054</v>
          </cell>
        </row>
        <row r="162">
          <cell r="E162">
            <v>715.2358190429826</v>
          </cell>
          <cell r="J162">
            <v>482.73417610760549</v>
          </cell>
          <cell r="O162">
            <v>-1525.9514755900984</v>
          </cell>
        </row>
        <row r="163">
          <cell r="E163">
            <v>705.42790858718968</v>
          </cell>
          <cell r="J163">
            <v>472.92626565181257</v>
          </cell>
          <cell r="O163">
            <v>-1535.7593860458915</v>
          </cell>
        </row>
        <row r="164">
          <cell r="E164">
            <v>695.61999813139676</v>
          </cell>
          <cell r="J164">
            <v>463.11835519601965</v>
          </cell>
          <cell r="O164">
            <v>-1545.5672965016845</v>
          </cell>
        </row>
        <row r="165">
          <cell r="E165">
            <v>685.81208767560383</v>
          </cell>
          <cell r="J165">
            <v>453.31044474022673</v>
          </cell>
          <cell r="O165">
            <v>-1555.3752069574775</v>
          </cell>
        </row>
        <row r="166">
          <cell r="E166">
            <v>676.00417721981091</v>
          </cell>
          <cell r="J166">
            <v>443.50253428443381</v>
          </cell>
          <cell r="O166">
            <v>-1565.1831174132706</v>
          </cell>
        </row>
        <row r="167">
          <cell r="E167">
            <v>666.19626676401799</v>
          </cell>
          <cell r="J167">
            <v>433.69462382864089</v>
          </cell>
          <cell r="O167">
            <v>-1574.9910278690636</v>
          </cell>
        </row>
        <row r="168">
          <cell r="E168">
            <v>656.38835630822507</v>
          </cell>
          <cell r="J168">
            <v>493.88671337284796</v>
          </cell>
          <cell r="O168">
            <v>-1584.7989383248566</v>
          </cell>
        </row>
        <row r="169">
          <cell r="E169">
            <v>767.58044585243215</v>
          </cell>
          <cell r="J169">
            <v>535.07880291705499</v>
          </cell>
          <cell r="O169">
            <v>-1594.6068487806497</v>
          </cell>
        </row>
        <row r="170">
          <cell r="E170">
            <v>757.77253539663923</v>
          </cell>
          <cell r="J170">
            <v>525.27089246126206</v>
          </cell>
          <cell r="O170">
            <v>-1604.4147592364427</v>
          </cell>
        </row>
        <row r="171">
          <cell r="E171">
            <v>747.96462494084631</v>
          </cell>
          <cell r="J171">
            <v>515.46298200546914</v>
          </cell>
          <cell r="O171">
            <v>-1614.2226696922357</v>
          </cell>
        </row>
        <row r="172">
          <cell r="E172">
            <v>738.15671448505339</v>
          </cell>
          <cell r="J172">
            <v>505.65507154967622</v>
          </cell>
          <cell r="O172">
            <v>-1624.0305801480288</v>
          </cell>
        </row>
        <row r="173">
          <cell r="E173">
            <v>728.34880402926046</v>
          </cell>
          <cell r="J173">
            <v>495.8471610938833</v>
          </cell>
          <cell r="O173">
            <v>-1633.8384906038218</v>
          </cell>
        </row>
        <row r="174">
          <cell r="E174">
            <v>718.54089357346754</v>
          </cell>
          <cell r="J174">
            <v>486.03925063809038</v>
          </cell>
          <cell r="O174">
            <v>-1643.6464010596148</v>
          </cell>
        </row>
        <row r="175">
          <cell r="E175">
            <v>708.73298311767462</v>
          </cell>
          <cell r="J175">
            <v>476.23134018229746</v>
          </cell>
          <cell r="O175">
            <v>-1653.4543115154079</v>
          </cell>
        </row>
        <row r="176">
          <cell r="E176">
            <v>698.9250726618817</v>
          </cell>
          <cell r="J176">
            <v>466.42342972650454</v>
          </cell>
          <cell r="O176">
            <v>-1663.2622219712009</v>
          </cell>
        </row>
        <row r="177">
          <cell r="E177">
            <v>719.11716220608878</v>
          </cell>
          <cell r="J177">
            <v>495.61551927071162</v>
          </cell>
          <cell r="O177">
            <v>-1673.070132426994</v>
          </cell>
        </row>
        <row r="178">
          <cell r="E178">
            <v>779.30925175029586</v>
          </cell>
          <cell r="J178">
            <v>555.80760881491869</v>
          </cell>
          <cell r="O178">
            <v>-1682.878042882787</v>
          </cell>
        </row>
        <row r="179">
          <cell r="E179">
            <v>772.50134129450294</v>
          </cell>
          <cell r="J179">
            <v>548.99969835912577</v>
          </cell>
          <cell r="O179">
            <v>-1692.68595333858</v>
          </cell>
        </row>
        <row r="180">
          <cell r="E180">
            <v>762.69343083871001</v>
          </cell>
          <cell r="J180">
            <v>539.19178790333285</v>
          </cell>
          <cell r="O180">
            <v>-1702.4938637943731</v>
          </cell>
        </row>
        <row r="181">
          <cell r="E181">
            <v>752.88552038291709</v>
          </cell>
          <cell r="J181">
            <v>529.38387744753993</v>
          </cell>
          <cell r="O181">
            <v>-1712.3017742501661</v>
          </cell>
        </row>
        <row r="182">
          <cell r="E182">
            <v>743.07760992712417</v>
          </cell>
          <cell r="J182">
            <v>519.57596699174701</v>
          </cell>
          <cell r="O182">
            <v>-1722.1096847059591</v>
          </cell>
        </row>
        <row r="183">
          <cell r="E183">
            <v>743.26969947133125</v>
          </cell>
          <cell r="J183">
            <v>519.76805653595409</v>
          </cell>
          <cell r="O183">
            <v>-1731.9175951617522</v>
          </cell>
        </row>
        <row r="184">
          <cell r="E184">
            <v>823.46178901553833</v>
          </cell>
          <cell r="J184">
            <v>599.96014608016117</v>
          </cell>
          <cell r="O184">
            <v>-1741.7255056175452</v>
          </cell>
        </row>
        <row r="185">
          <cell r="E185">
            <v>813.65387855974541</v>
          </cell>
          <cell r="J185">
            <v>590.15223562436825</v>
          </cell>
          <cell r="O185">
            <v>-1751.5334160733382</v>
          </cell>
        </row>
        <row r="186">
          <cell r="E186">
            <v>803.84596810395249</v>
          </cell>
          <cell r="J186">
            <v>580.34432516857532</v>
          </cell>
          <cell r="O186">
            <v>-1761.3413265291313</v>
          </cell>
        </row>
        <row r="187">
          <cell r="E187">
            <v>794.03805764815957</v>
          </cell>
          <cell r="J187">
            <v>570.5364147127824</v>
          </cell>
          <cell r="O187">
            <v>-1771.1492369849243</v>
          </cell>
        </row>
        <row r="188">
          <cell r="E188">
            <v>784.23014719236664</v>
          </cell>
          <cell r="J188">
            <v>560.72850425698948</v>
          </cell>
          <cell r="O188">
            <v>-1780.9571474407173</v>
          </cell>
        </row>
        <row r="189">
          <cell r="E189">
            <v>774.42223673657372</v>
          </cell>
          <cell r="J189">
            <v>550.92059380119656</v>
          </cell>
          <cell r="O189">
            <v>-1790.7650578965104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CRD"/>
      <sheetName val="98CRD"/>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90819"/>
      <sheetName val="20090903"/>
      <sheetName val="2009100７"/>
      <sheetName val="20091008"/>
      <sheetName val="20091106"/>
      <sheetName val="20091203"/>
      <sheetName val="20091214"/>
      <sheetName val="20091217"/>
      <sheetName val="20091218"/>
      <sheetName val="20100107"/>
      <sheetName val="20100202"/>
      <sheetName val="20100325"/>
      <sheetName val="20100409"/>
      <sheetName val="20100604"/>
      <sheetName val="20101217"/>
      <sheetName val="20110106"/>
      <sheetName val="20110202"/>
      <sheetName val="20110210"/>
      <sheetName val="20110225"/>
      <sheetName val="20110531"/>
      <sheetName val="20111022"/>
      <sheetName val="20120105"/>
      <sheetName val="201206"/>
      <sheetName val="2012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0">
          <cell r="G20" t="str">
            <v>LOCAL_IP</v>
          </cell>
          <cell r="H20" t="str">
            <v>参照INIファイル</v>
          </cell>
          <cell r="I20" t="str">
            <v>所有会社</v>
          </cell>
          <cell r="J20" t="str">
            <v>貸出</v>
          </cell>
          <cell r="K20" t="str">
            <v>リース契約番号</v>
          </cell>
          <cell r="L20" t="str">
            <v>保守契約番号</v>
          </cell>
          <cell r="M20" t="str">
            <v>リース開始年月</v>
          </cell>
          <cell r="N20" t="str">
            <v>リース終了年月</v>
          </cell>
          <cell r="O20" t="str">
            <v>リース解約年月</v>
          </cell>
          <cell r="P20" t="str">
            <v>リース返却年月</v>
          </cell>
          <cell r="Q20" t="str">
            <v>リース区分</v>
          </cell>
          <cell r="R20" t="str">
            <v>機器種別</v>
          </cell>
          <cell r="S20" t="str">
            <v>管理NO</v>
          </cell>
          <cell r="T20" t="str">
            <v>地区</v>
          </cell>
          <cell r="U20" t="str">
            <v>場所</v>
          </cell>
          <cell r="V20" t="str">
            <v>会社</v>
          </cell>
          <cell r="W20" t="str">
            <v>部署</v>
          </cell>
          <cell r="X20" t="str">
            <v>担当</v>
          </cell>
          <cell r="Y20" t="str">
            <v>OA番号</v>
          </cell>
          <cell r="AA20" t="str">
            <v>用途</v>
          </cell>
          <cell r="AB20" t="str">
            <v>モデル</v>
          </cell>
          <cell r="AC20" t="str">
            <v>型番</v>
          </cell>
          <cell r="AD20" t="str">
            <v>シリアル番号</v>
          </cell>
          <cell r="AE20" t="str">
            <v>Nプリンタ１</v>
          </cell>
          <cell r="AF20" t="str">
            <v>Nプリンタ１IP</v>
          </cell>
          <cell r="AG20" t="str">
            <v>Nプリンタ２</v>
          </cell>
          <cell r="AH20" t="str">
            <v>Nプリンタ２IP</v>
          </cell>
          <cell r="AI20" t="str">
            <v>Nプリンタ３</v>
          </cell>
          <cell r="AJ20" t="str">
            <v>Nプリンタ３IP</v>
          </cell>
          <cell r="AK20" t="str">
            <v>OS</v>
          </cell>
          <cell r="AL20" t="str">
            <v>搭載ソフト標準</v>
          </cell>
          <cell r="AM20" t="str">
            <v>MACアドレス</v>
          </cell>
          <cell r="AN20" t="str">
            <v>LOCAL_GW</v>
          </cell>
          <cell r="AO20" t="str">
            <v>GROBAL_IP</v>
          </cell>
          <cell r="AP20" t="str">
            <v>GLOBAL_GW</v>
          </cell>
          <cell r="AQ20" t="str">
            <v>コンピューター名</v>
          </cell>
          <cell r="AR20" t="str">
            <v>ワークグループ</v>
          </cell>
          <cell r="AS20" t="str">
            <v>ｴﾐｭﾚｰﾀ</v>
          </cell>
          <cell r="AT20" t="str">
            <v>SNAアプリ</v>
          </cell>
          <cell r="AU20" t="str">
            <v>LU_DISP</v>
          </cell>
          <cell r="AV20" t="str">
            <v>LU_PRN</v>
          </cell>
          <cell r="AW20" t="str">
            <v>宛先ｱﾄﾞﾚｽ</v>
          </cell>
          <cell r="AX20" t="str">
            <v>IDﾌﾞﾛｯｸ</v>
          </cell>
          <cell r="AY20" t="str">
            <v>送信元ｱﾄﾞﾚｽ</v>
          </cell>
          <cell r="AZ20" t="str">
            <v>備考</v>
          </cell>
          <cell r="BA20" t="str">
            <v>更新日:</v>
          </cell>
          <cell r="BB20" t="str">
            <v>リース料:</v>
          </cell>
          <cell r="BC20" t="str">
            <v>保守料:</v>
          </cell>
          <cell r="BD20" t="str">
            <v>CarePackNo::</v>
          </cell>
          <cell r="BE20" t="str">
            <v>オプションソフト:</v>
          </cell>
        </row>
        <row r="21">
          <cell r="F21">
            <v>39</v>
          </cell>
          <cell r="G21" t="str">
            <v>146.143.010.075</v>
          </cell>
          <cell r="H21" t="str">
            <v/>
          </cell>
          <cell r="I21" t="str">
            <v>KN</v>
          </cell>
          <cell r="J21" t="str">
            <v/>
          </cell>
          <cell r="K21" t="str">
            <v>TG07P0086</v>
          </cell>
          <cell r="L21" t="str">
            <v>第３者保守</v>
          </cell>
          <cell r="M21">
            <v>39356</v>
          </cell>
          <cell r="N21">
            <v>40816</v>
          </cell>
          <cell r="Q21" t="str">
            <v/>
          </cell>
          <cell r="R21" t="str">
            <v>PC</v>
          </cell>
          <cell r="S21" t="str">
            <v/>
          </cell>
          <cell r="T21" t="str">
            <v>加古川</v>
          </cell>
          <cell r="U21" t="str">
            <v>加古川工場</v>
          </cell>
          <cell r="V21" t="str">
            <v>関西熱化学</v>
          </cell>
          <cell r="W21" t="str">
            <v>生産センター　生産管理Gr</v>
          </cell>
          <cell r="X21" t="str">
            <v>坂本　廸夫</v>
          </cell>
          <cell r="Y21" t="str">
            <v>KNG1063</v>
          </cell>
          <cell r="Z21" t="str">
            <v/>
          </cell>
          <cell r="AA21" t="str">
            <v>Safeboot</v>
          </cell>
          <cell r="AB21" t="str">
            <v>ThinkPad R60e</v>
          </cell>
          <cell r="AC21" t="str">
            <v>0658-BJ6</v>
          </cell>
          <cell r="AD21" t="str">
            <v>L3-GC383</v>
          </cell>
          <cell r="AE21" t="str">
            <v>リコーImagio MPC2800</v>
          </cell>
          <cell r="AF21" t="str">
            <v>146.143.010.233</v>
          </cell>
          <cell r="AG21" t="str">
            <v>リコーIpsio SP C820</v>
          </cell>
          <cell r="AH21" t="str">
            <v>146.143.010.221</v>
          </cell>
          <cell r="AI21" t="str">
            <v>リコーImagio MPC4000</v>
          </cell>
          <cell r="AJ21" t="str">
            <v>146.143.010.227</v>
          </cell>
          <cell r="AK21" t="str">
            <v>WindowsXP(SP2)</v>
          </cell>
          <cell r="AL21" t="str">
            <v>KN-03</v>
          </cell>
          <cell r="AM21" t="str">
            <v>0016D3B84A25</v>
          </cell>
          <cell r="AN21" t="str">
            <v>146.143.001.001</v>
          </cell>
          <cell r="AO21" t="str">
            <v>ｾﾝﾁｭﾘｰ・ﾘｰｼﾝｸﾞ・ｼｽﾃﾑ</v>
          </cell>
          <cell r="AP21" t="str">
            <v>L07107062</v>
          </cell>
          <cell r="AQ21" t="str">
            <v>KNP3B075</v>
          </cell>
          <cell r="AR21" t="str">
            <v>CCIT</v>
          </cell>
          <cell r="AS21" t="str">
            <v/>
          </cell>
          <cell r="AT21" t="str">
            <v/>
          </cell>
          <cell r="AU21" t="str">
            <v/>
          </cell>
          <cell r="AV21" t="str">
            <v/>
          </cell>
          <cell r="AW21" t="str">
            <v/>
          </cell>
          <cell r="AX21" t="str">
            <v/>
          </cell>
          <cell r="AY21" t="str">
            <v/>
          </cell>
          <cell r="AZ21" t="str">
            <v/>
          </cell>
          <cell r="BC21">
            <v>800</v>
          </cell>
          <cell r="BD21" t="str">
            <v/>
          </cell>
          <cell r="BE21" t="str">
            <v>SafeBoot</v>
          </cell>
        </row>
        <row r="22">
          <cell r="F22">
            <v>136</v>
          </cell>
          <cell r="G22" t="str">
            <v>201.255.041.177</v>
          </cell>
          <cell r="H22" t="str">
            <v/>
          </cell>
          <cell r="I22" t="str">
            <v>AUS</v>
          </cell>
          <cell r="J22" t="str">
            <v/>
          </cell>
          <cell r="K22" t="str">
            <v>買取</v>
          </cell>
          <cell r="L22" t="str">
            <v>HPメーカー保守</v>
          </cell>
          <cell r="M22">
            <v>39417</v>
          </cell>
          <cell r="Q22" t="str">
            <v/>
          </cell>
          <cell r="R22" t="str">
            <v>PC</v>
          </cell>
          <cell r="S22" t="str">
            <v/>
          </cell>
          <cell r="T22" t="str">
            <v>尼崎</v>
          </cell>
          <cell r="U22" t="str">
            <v>北門</v>
          </cell>
          <cell r="V22" t="str">
            <v>尼崎ユーティリティサービス</v>
          </cell>
          <cell r="W22" t="str">
            <v>AUS</v>
          </cell>
          <cell r="X22" t="str">
            <v>秋葉　幸二</v>
          </cell>
          <cell r="Y22" t="str">
            <v>KNG1269</v>
          </cell>
          <cell r="Z22" t="str">
            <v/>
          </cell>
          <cell r="AA22" t="str">
            <v>Safeboot</v>
          </cell>
          <cell r="AB22" t="str">
            <v>HP Compaq 6710b</v>
          </cell>
          <cell r="AC22" t="str">
            <v>GX519PA</v>
          </cell>
          <cell r="AD22" t="str">
            <v>CNU7373FXT</v>
          </cell>
          <cell r="AE22" t="str">
            <v>Canon LBP-5700</v>
          </cell>
          <cell r="AF22" t="str">
            <v>201.255.041.033</v>
          </cell>
          <cell r="AG22" t="str">
            <v>リコーImagio MPC2500</v>
          </cell>
          <cell r="AH22" t="str">
            <v>201.255.041.039</v>
          </cell>
          <cell r="AI22" t="str">
            <v/>
          </cell>
          <cell r="AJ22" t="str">
            <v/>
          </cell>
          <cell r="AK22" t="str">
            <v>WindowsXP(SP3)</v>
          </cell>
          <cell r="AL22" t="str">
            <v>AUS</v>
          </cell>
          <cell r="AM22" t="str">
            <v/>
          </cell>
          <cell r="AN22" t="str">
            <v>201.255.041.001</v>
          </cell>
          <cell r="AO22" t="str">
            <v/>
          </cell>
          <cell r="AP22" t="str">
            <v/>
          </cell>
          <cell r="AQ22" t="str">
            <v>KNG41177</v>
          </cell>
          <cell r="AR22" t="str">
            <v>CCIT</v>
          </cell>
          <cell r="AS22" t="str">
            <v/>
          </cell>
          <cell r="AT22" t="str">
            <v/>
          </cell>
          <cell r="AU22" t="str">
            <v/>
          </cell>
          <cell r="AV22" t="str">
            <v/>
          </cell>
          <cell r="AW22" t="str">
            <v/>
          </cell>
          <cell r="AX22" t="str">
            <v/>
          </cell>
          <cell r="AY22" t="str">
            <v/>
          </cell>
          <cell r="AZ22" t="str">
            <v>2007/12購入</v>
          </cell>
          <cell r="BD22" t="str">
            <v>JED8106259</v>
          </cell>
          <cell r="BE22" t="str">
            <v>SafeBoot</v>
          </cell>
        </row>
        <row r="23">
          <cell r="F23">
            <v>75</v>
          </cell>
          <cell r="G23" t="str">
            <v>146.143.010.189</v>
          </cell>
          <cell r="H23" t="str">
            <v/>
          </cell>
          <cell r="I23" t="str">
            <v>KN</v>
          </cell>
          <cell r="J23" t="str">
            <v/>
          </cell>
          <cell r="K23" t="str">
            <v>TG07P0060</v>
          </cell>
          <cell r="L23" t="str">
            <v>第３者保守</v>
          </cell>
          <cell r="M23">
            <v>39264</v>
          </cell>
          <cell r="N23">
            <v>40724</v>
          </cell>
          <cell r="Q23" t="str">
            <v/>
          </cell>
          <cell r="R23" t="str">
            <v>PC</v>
          </cell>
          <cell r="S23" t="str">
            <v/>
          </cell>
          <cell r="T23" t="str">
            <v>加古川</v>
          </cell>
          <cell r="U23" t="str">
            <v>加古川工場</v>
          </cell>
          <cell r="V23" t="str">
            <v>関西熱化学</v>
          </cell>
          <cell r="W23" t="str">
            <v>生産センター</v>
          </cell>
          <cell r="X23" t="str">
            <v>佐藤　頼人</v>
          </cell>
          <cell r="Y23" t="str">
            <v>KNG1406</v>
          </cell>
          <cell r="Z23" t="str">
            <v/>
          </cell>
          <cell r="AA23" t="str">
            <v>モバイル</v>
          </cell>
          <cell r="AB23" t="str">
            <v>ThinkPad R60e</v>
          </cell>
          <cell r="AC23" t="str">
            <v>0658-BJ6</v>
          </cell>
          <cell r="AD23" t="str">
            <v>L3-DD721</v>
          </cell>
          <cell r="AE23" t="str">
            <v>リコーImagio MPC3300</v>
          </cell>
          <cell r="AF23" t="str">
            <v>146.143.010.220</v>
          </cell>
          <cell r="AG23" t="str">
            <v>リコーImagio MPC3000</v>
          </cell>
          <cell r="AH23" t="str">
            <v>146.143.010.228</v>
          </cell>
          <cell r="AI23" t="str">
            <v/>
          </cell>
          <cell r="AJ23" t="str">
            <v/>
          </cell>
          <cell r="AK23" t="str">
            <v>WindowsXP(SP2)</v>
          </cell>
          <cell r="AL23" t="str">
            <v>KN-03</v>
          </cell>
          <cell r="AM23" t="str">
            <v>0018D3356603</v>
          </cell>
          <cell r="AN23" t="str">
            <v>146.143.001.001</v>
          </cell>
          <cell r="AO23" t="str">
            <v>協同リース</v>
          </cell>
          <cell r="AP23" t="str">
            <v>A7820291</v>
          </cell>
          <cell r="AQ23" t="str">
            <v>KNP3B189</v>
          </cell>
          <cell r="AR23" t="str">
            <v>CCIT</v>
          </cell>
          <cell r="AS23" t="str">
            <v/>
          </cell>
          <cell r="AT23" t="str">
            <v/>
          </cell>
          <cell r="AU23" t="str">
            <v/>
          </cell>
          <cell r="AV23" t="str">
            <v/>
          </cell>
          <cell r="AW23" t="str">
            <v/>
          </cell>
          <cell r="AX23" t="str">
            <v/>
          </cell>
          <cell r="AY23" t="str">
            <v/>
          </cell>
          <cell r="AZ23" t="str">
            <v/>
          </cell>
          <cell r="BC23">
            <v>800</v>
          </cell>
          <cell r="BD23" t="str">
            <v/>
          </cell>
          <cell r="BE23" t="str">
            <v>SafeBoot</v>
          </cell>
        </row>
        <row r="24">
          <cell r="F24">
            <v>64</v>
          </cell>
          <cell r="G24" t="str">
            <v>146.143.020.053</v>
          </cell>
          <cell r="H24" t="str">
            <v/>
          </cell>
          <cell r="I24" t="str">
            <v>RSI</v>
          </cell>
          <cell r="J24" t="str">
            <v/>
          </cell>
          <cell r="K24" t="str">
            <v/>
          </cell>
          <cell r="L24" t="str">
            <v>ﾊﾟﾅｿﾆｯｸﾒｰｶｰ保守</v>
          </cell>
          <cell r="M24">
            <v>39661</v>
          </cell>
          <cell r="N24">
            <v>41121</v>
          </cell>
          <cell r="Q24" t="str">
            <v/>
          </cell>
          <cell r="R24" t="str">
            <v>PC</v>
          </cell>
          <cell r="S24" t="str">
            <v/>
          </cell>
          <cell r="T24" t="str">
            <v>加古川</v>
          </cell>
          <cell r="U24" t="str">
            <v>加古川工場</v>
          </cell>
          <cell r="V24" t="str">
            <v>カーボンテック</v>
          </cell>
          <cell r="W24" t="str">
            <v>東事務所</v>
          </cell>
          <cell r="X24" t="str">
            <v>平松　茂</v>
          </cell>
          <cell r="Y24" t="str">
            <v>KNG1407</v>
          </cell>
          <cell r="Z24" t="str">
            <v/>
          </cell>
          <cell r="AA24" t="str">
            <v>モバイル</v>
          </cell>
          <cell r="AB24" t="str">
            <v>CF-R7</v>
          </cell>
          <cell r="AC24" t="str">
            <v>CF-R7CW5AXS</v>
          </cell>
          <cell r="AD24" t="str">
            <v>8DKSA26015</v>
          </cell>
          <cell r="AE24" t="str">
            <v>SHARP MX-4100FN</v>
          </cell>
          <cell r="AF24" t="str">
            <v>146.143.020.224</v>
          </cell>
          <cell r="AG24" t="str">
            <v>リコーImagio MPC3500</v>
          </cell>
          <cell r="AH24" t="str">
            <v>146.143.020.226</v>
          </cell>
          <cell r="AI24" t="str">
            <v/>
          </cell>
          <cell r="AJ24" t="str">
            <v/>
          </cell>
          <cell r="AK24" t="str">
            <v>WindowsXP(SP2)</v>
          </cell>
          <cell r="AL24" t="str">
            <v>CT</v>
          </cell>
          <cell r="AM24" t="str">
            <v/>
          </cell>
          <cell r="AN24" t="str">
            <v>146.143.001.001</v>
          </cell>
          <cell r="AO24" t="str">
            <v/>
          </cell>
          <cell r="AP24" t="str">
            <v/>
          </cell>
          <cell r="AQ24" t="str">
            <v>KNP3D053</v>
          </cell>
          <cell r="AR24" t="str">
            <v>CCIT</v>
          </cell>
          <cell r="AS24" t="str">
            <v/>
          </cell>
          <cell r="AT24" t="str">
            <v/>
          </cell>
          <cell r="AU24" t="str">
            <v/>
          </cell>
          <cell r="AV24" t="str">
            <v/>
          </cell>
          <cell r="AW24" t="str">
            <v/>
          </cell>
          <cell r="AX24" t="str">
            <v/>
          </cell>
          <cell r="AY24" t="str">
            <v/>
          </cell>
          <cell r="AZ24" t="str">
            <v>2010/3/10WSUS確認未</v>
          </cell>
          <cell r="BB24">
            <v>4680</v>
          </cell>
          <cell r="BD24" t="str">
            <v/>
          </cell>
          <cell r="BE24" t="str">
            <v>SafeBoot</v>
          </cell>
        </row>
        <row r="25">
          <cell r="F25">
            <v>149</v>
          </cell>
          <cell r="G25" t="str">
            <v>201.255.041.191</v>
          </cell>
          <cell r="H25" t="str">
            <v/>
          </cell>
          <cell r="I25" t="str">
            <v>RSI</v>
          </cell>
          <cell r="J25" t="str">
            <v/>
          </cell>
          <cell r="K25" t="str">
            <v/>
          </cell>
          <cell r="L25" t="str">
            <v>ﾊﾟﾅｿﾆｯｸﾒｰｶｰ保守</v>
          </cell>
          <cell r="M25">
            <v>39630</v>
          </cell>
          <cell r="N25">
            <v>41090</v>
          </cell>
          <cell r="Q25" t="str">
            <v/>
          </cell>
          <cell r="R25" t="str">
            <v>PC</v>
          </cell>
          <cell r="S25" t="str">
            <v/>
          </cell>
          <cell r="T25" t="str">
            <v>尼崎</v>
          </cell>
          <cell r="U25" t="str">
            <v>北門</v>
          </cell>
          <cell r="V25" t="str">
            <v>ＫＮラボアナリシス</v>
          </cell>
          <cell r="W25" t="str">
            <v>精密洗浄</v>
          </cell>
          <cell r="X25" t="str">
            <v>勝部　幸夫</v>
          </cell>
          <cell r="Y25" t="str">
            <v>KNG1410</v>
          </cell>
          <cell r="Z25" t="str">
            <v/>
          </cell>
          <cell r="AA25" t="str">
            <v>モバイル</v>
          </cell>
          <cell r="AB25" t="str">
            <v>CF-R7</v>
          </cell>
          <cell r="AC25" t="str">
            <v>CF-R7CW5AXS</v>
          </cell>
          <cell r="AD25" t="str">
            <v>8DKSA25995</v>
          </cell>
          <cell r="AE25" t="str">
            <v>リコーImagio MPC5000</v>
          </cell>
          <cell r="AF25" t="str">
            <v>201.255.041.040</v>
          </cell>
          <cell r="AG25" t="str">
            <v>リコーImagio MPC2800</v>
          </cell>
          <cell r="AH25" t="str">
            <v>201.255.041.162</v>
          </cell>
          <cell r="AI25" t="str">
            <v/>
          </cell>
          <cell r="AJ25" t="str">
            <v/>
          </cell>
          <cell r="AK25" t="str">
            <v>WindowsXP(SP2)</v>
          </cell>
          <cell r="AL25" t="str">
            <v>KNL-精密</v>
          </cell>
          <cell r="AM25" t="str">
            <v/>
          </cell>
          <cell r="AN25" t="str">
            <v>201.255.041.001</v>
          </cell>
          <cell r="AO25" t="str">
            <v/>
          </cell>
          <cell r="AP25" t="str">
            <v/>
          </cell>
          <cell r="AQ25" t="str">
            <v>KNG41191</v>
          </cell>
          <cell r="AR25" t="str">
            <v>CCIT</v>
          </cell>
          <cell r="AS25" t="str">
            <v/>
          </cell>
          <cell r="AT25" t="str">
            <v/>
          </cell>
          <cell r="AU25" t="str">
            <v/>
          </cell>
          <cell r="AV25" t="str">
            <v/>
          </cell>
          <cell r="AW25" t="str">
            <v/>
          </cell>
          <cell r="AX25" t="str">
            <v/>
          </cell>
          <cell r="AY25" t="str">
            <v/>
          </cell>
          <cell r="AZ25" t="str">
            <v>BO(KNﾗｲｾﾝｽ使用)</v>
          </cell>
          <cell r="BB25">
            <v>4680</v>
          </cell>
          <cell r="BD25" t="str">
            <v/>
          </cell>
          <cell r="BE25" t="str">
            <v>SafeBoot</v>
          </cell>
        </row>
        <row r="26">
          <cell r="F26">
            <v>44</v>
          </cell>
          <cell r="G26" t="str">
            <v>146.143.010.104</v>
          </cell>
          <cell r="H26" t="str">
            <v/>
          </cell>
          <cell r="I26" t="str">
            <v>KN</v>
          </cell>
          <cell r="J26" t="str">
            <v/>
          </cell>
          <cell r="K26" t="str">
            <v>TG07P0073</v>
          </cell>
          <cell r="L26" t="str">
            <v>第３者保守</v>
          </cell>
          <cell r="M26">
            <v>39295</v>
          </cell>
          <cell r="N26">
            <v>40755</v>
          </cell>
          <cell r="Q26" t="str">
            <v/>
          </cell>
          <cell r="R26" t="str">
            <v>PC</v>
          </cell>
          <cell r="S26" t="str">
            <v/>
          </cell>
          <cell r="T26" t="str">
            <v>加古川</v>
          </cell>
          <cell r="U26" t="str">
            <v>加古川工場</v>
          </cell>
          <cell r="V26" t="str">
            <v>関西熱化学</v>
          </cell>
          <cell r="W26" t="str">
            <v>生産センター　設備課</v>
          </cell>
          <cell r="X26" t="str">
            <v>島津　泰登志</v>
          </cell>
          <cell r="Y26" t="str">
            <v>KNG1633</v>
          </cell>
          <cell r="Z26" t="str">
            <v/>
          </cell>
          <cell r="AA26" t="str">
            <v>Safeboot</v>
          </cell>
          <cell r="AB26" t="str">
            <v>ThinkPad R60e</v>
          </cell>
          <cell r="AC26" t="str">
            <v>0658-BJ6</v>
          </cell>
          <cell r="AD26" t="str">
            <v>L3-EW246</v>
          </cell>
          <cell r="AE26" t="str">
            <v>リコーImagio MPC3300</v>
          </cell>
          <cell r="AF26" t="str">
            <v>146.143.010.220</v>
          </cell>
          <cell r="AG26" t="str">
            <v>リコーImagio MPC3300</v>
          </cell>
          <cell r="AH26" t="str">
            <v>146.143.010.228</v>
          </cell>
          <cell r="AI26" t="str">
            <v/>
          </cell>
          <cell r="AJ26" t="str">
            <v/>
          </cell>
          <cell r="AK26" t="str">
            <v>WindowsXP(SP2)</v>
          </cell>
          <cell r="AL26" t="str">
            <v>KN-03</v>
          </cell>
          <cell r="AM26" t="str">
            <v>0016D33DA553</v>
          </cell>
          <cell r="AN26" t="str">
            <v>146.143.001.001</v>
          </cell>
          <cell r="AO26" t="str">
            <v>興銀リース</v>
          </cell>
          <cell r="AP26" t="str">
            <v>07-410022</v>
          </cell>
          <cell r="AQ26" t="str">
            <v>KNP3B104</v>
          </cell>
          <cell r="AR26" t="str">
            <v>CCIT</v>
          </cell>
          <cell r="AS26" t="str">
            <v/>
          </cell>
          <cell r="AT26" t="str">
            <v/>
          </cell>
          <cell r="AU26" t="str">
            <v/>
          </cell>
          <cell r="AV26" t="str">
            <v/>
          </cell>
          <cell r="AW26" t="str">
            <v/>
          </cell>
          <cell r="AX26" t="str">
            <v/>
          </cell>
          <cell r="AY26" t="str">
            <v/>
          </cell>
          <cell r="AZ26" t="str">
            <v/>
          </cell>
          <cell r="BC26">
            <v>800</v>
          </cell>
          <cell r="BD26" t="str">
            <v/>
          </cell>
          <cell r="BE26" t="str">
            <v>SafeBoot</v>
          </cell>
        </row>
        <row r="27">
          <cell r="F27">
            <v>86</v>
          </cell>
          <cell r="G27" t="str">
            <v>201.255.041.227</v>
          </cell>
          <cell r="H27" t="str">
            <v/>
          </cell>
          <cell r="I27" t="str">
            <v>RSI</v>
          </cell>
          <cell r="J27" t="str">
            <v/>
          </cell>
          <cell r="K27" t="str">
            <v/>
          </cell>
          <cell r="L27" t="str">
            <v>ﾊﾟﾅｿﾆｯｸﾒｰｶｰ保守</v>
          </cell>
          <cell r="M27">
            <v>39814</v>
          </cell>
          <cell r="N27">
            <v>41274</v>
          </cell>
          <cell r="Q27" t="str">
            <v/>
          </cell>
          <cell r="R27" t="str">
            <v>PC</v>
          </cell>
          <cell r="S27" t="str">
            <v/>
          </cell>
          <cell r="T27" t="str">
            <v>尼崎</v>
          </cell>
          <cell r="U27" t="str">
            <v>北門</v>
          </cell>
          <cell r="V27" t="str">
            <v>ＫＮラボアナリシス</v>
          </cell>
          <cell r="W27" t="str">
            <v>分析事業部　業務部</v>
          </cell>
          <cell r="X27" t="str">
            <v>市元　英敏</v>
          </cell>
          <cell r="Y27" t="str">
            <v>KNG1739</v>
          </cell>
          <cell r="Z27" t="str">
            <v/>
          </cell>
          <cell r="AA27" t="str">
            <v>モバイル</v>
          </cell>
          <cell r="AB27" t="str">
            <v>CF-R7</v>
          </cell>
          <cell r="AC27" t="str">
            <v>CF-R7CW5AXS</v>
          </cell>
          <cell r="AD27" t="str">
            <v>8DKSA27304</v>
          </cell>
          <cell r="AE27" t="str">
            <v>リコーIpsio SP C711</v>
          </cell>
          <cell r="AF27" t="str">
            <v>201.255.041.217</v>
          </cell>
          <cell r="AG27" t="str">
            <v>リコーImagio MPC3000</v>
          </cell>
          <cell r="AH27" t="str">
            <v>201.255.041.046</v>
          </cell>
          <cell r="AI27" t="str">
            <v/>
          </cell>
          <cell r="AJ27" t="str">
            <v/>
          </cell>
          <cell r="AK27" t="str">
            <v>WindowsXP(SP2)</v>
          </cell>
          <cell r="AL27" t="str">
            <v>KNL-業務</v>
          </cell>
          <cell r="AM27" t="str">
            <v/>
          </cell>
          <cell r="AN27" t="str">
            <v>201.255.041.001</v>
          </cell>
          <cell r="AO27" t="str">
            <v/>
          </cell>
          <cell r="AP27" t="str">
            <v/>
          </cell>
          <cell r="AQ27" t="str">
            <v>KNG41227</v>
          </cell>
          <cell r="AR27" t="str">
            <v>CCIT</v>
          </cell>
          <cell r="AS27" t="str">
            <v/>
          </cell>
          <cell r="AT27" t="str">
            <v/>
          </cell>
          <cell r="AU27" t="str">
            <v/>
          </cell>
          <cell r="AV27" t="str">
            <v/>
          </cell>
          <cell r="AW27" t="str">
            <v/>
          </cell>
          <cell r="AX27" t="str">
            <v/>
          </cell>
          <cell r="AY27" t="str">
            <v/>
          </cell>
          <cell r="AZ27" t="str">
            <v/>
          </cell>
          <cell r="BB27">
            <v>4690</v>
          </cell>
          <cell r="BD27" t="str">
            <v/>
          </cell>
          <cell r="BE27" t="str">
            <v>SafeBoot</v>
          </cell>
        </row>
        <row r="28">
          <cell r="F28">
            <v>134</v>
          </cell>
          <cell r="G28" t="str">
            <v>201.255.041.050</v>
          </cell>
          <cell r="H28" t="str">
            <v/>
          </cell>
          <cell r="I28" t="str">
            <v>AUS</v>
          </cell>
          <cell r="J28" t="str">
            <v/>
          </cell>
          <cell r="K28" t="str">
            <v>買取</v>
          </cell>
          <cell r="L28" t="str">
            <v>ﾊﾟﾅｿﾆｯｸﾒｰｶｰ保守</v>
          </cell>
          <cell r="M28">
            <v>39643</v>
          </cell>
          <cell r="Q28" t="str">
            <v/>
          </cell>
          <cell r="R28" t="str">
            <v>PC</v>
          </cell>
          <cell r="S28" t="str">
            <v/>
          </cell>
          <cell r="T28" t="str">
            <v>尼崎</v>
          </cell>
          <cell r="U28" t="str">
            <v>北門</v>
          </cell>
          <cell r="V28" t="str">
            <v>尼崎ユーティリティサービス</v>
          </cell>
          <cell r="W28" t="str">
            <v>AUS</v>
          </cell>
          <cell r="X28" t="str">
            <v>香山　芳嗣</v>
          </cell>
          <cell r="Y28" t="str">
            <v>KNG2531</v>
          </cell>
          <cell r="Z28" t="str">
            <v/>
          </cell>
          <cell r="AA28" t="str">
            <v>モバイル</v>
          </cell>
          <cell r="AB28" t="str">
            <v>CF-R7</v>
          </cell>
          <cell r="AC28" t="str">
            <v>CF-R7CW5AXS</v>
          </cell>
          <cell r="AD28" t="str">
            <v>8DKSA26014</v>
          </cell>
          <cell r="AE28" t="str">
            <v>Canon LBP-5700</v>
          </cell>
          <cell r="AF28" t="str">
            <v>201.255.041.033</v>
          </cell>
          <cell r="AG28" t="str">
            <v/>
          </cell>
          <cell r="AH28" t="str">
            <v/>
          </cell>
          <cell r="AI28" t="str">
            <v/>
          </cell>
          <cell r="AJ28" t="str">
            <v/>
          </cell>
          <cell r="AK28" t="str">
            <v>WindowsXP(SP2)</v>
          </cell>
          <cell r="AL28" t="str">
            <v>AUS</v>
          </cell>
          <cell r="AM28" t="str">
            <v/>
          </cell>
          <cell r="AN28" t="str">
            <v>201.255.041.001</v>
          </cell>
          <cell r="AO28" t="str">
            <v/>
          </cell>
          <cell r="AP28" t="str">
            <v/>
          </cell>
          <cell r="AQ28" t="str">
            <v>KNG41050</v>
          </cell>
          <cell r="AR28" t="str">
            <v>CCIT</v>
          </cell>
          <cell r="AS28" t="str">
            <v/>
          </cell>
          <cell r="AT28" t="str">
            <v/>
          </cell>
          <cell r="AU28" t="str">
            <v/>
          </cell>
          <cell r="AV28" t="str">
            <v/>
          </cell>
          <cell r="AW28" t="str">
            <v/>
          </cell>
          <cell r="AX28" t="str">
            <v/>
          </cell>
          <cell r="AY28" t="str">
            <v/>
          </cell>
          <cell r="AZ28" t="str">
            <v/>
          </cell>
          <cell r="BB28">
            <v>4680</v>
          </cell>
          <cell r="BD28" t="str">
            <v/>
          </cell>
          <cell r="BE28" t="str">
            <v>SafeBoot</v>
          </cell>
        </row>
        <row r="29">
          <cell r="F29">
            <v>89</v>
          </cell>
          <cell r="G29" t="str">
            <v>201.255.041.210</v>
          </cell>
          <cell r="H29" t="str">
            <v/>
          </cell>
          <cell r="I29" t="str">
            <v>RSI</v>
          </cell>
          <cell r="J29" t="str">
            <v/>
          </cell>
          <cell r="K29" t="str">
            <v/>
          </cell>
          <cell r="L29" t="str">
            <v>ﾊﾟﾅｿﾆｯｸﾒｰｶｰ保守</v>
          </cell>
          <cell r="M29">
            <v>39600</v>
          </cell>
          <cell r="N29">
            <v>41060</v>
          </cell>
          <cell r="Q29" t="str">
            <v/>
          </cell>
          <cell r="R29" t="str">
            <v>PC</v>
          </cell>
          <cell r="S29" t="str">
            <v/>
          </cell>
          <cell r="T29" t="str">
            <v>尼崎</v>
          </cell>
          <cell r="U29" t="str">
            <v>北門</v>
          </cell>
          <cell r="V29" t="str">
            <v>ＫＮラボアナリシス</v>
          </cell>
          <cell r="W29" t="str">
            <v>本社</v>
          </cell>
          <cell r="X29" t="str">
            <v>林　和徳</v>
          </cell>
          <cell r="Y29" t="str">
            <v>KNG2841</v>
          </cell>
          <cell r="Z29" t="str">
            <v/>
          </cell>
          <cell r="AA29" t="str">
            <v>モバイル</v>
          </cell>
          <cell r="AB29" t="str">
            <v>CF-R7</v>
          </cell>
          <cell r="AC29" t="str">
            <v>CF-R7CW5AXS</v>
          </cell>
          <cell r="AD29" t="str">
            <v>8DKSA25653</v>
          </cell>
          <cell r="AE29" t="str">
            <v>リコーImagio MPC2500</v>
          </cell>
          <cell r="AF29" t="str">
            <v>201.255.041.021</v>
          </cell>
          <cell r="AG29" t="str">
            <v>EPSON PM-3500C</v>
          </cell>
          <cell r="AH29" t="str">
            <v>USB接続</v>
          </cell>
          <cell r="AI29" t="str">
            <v>リコーIpsio CX6600</v>
          </cell>
          <cell r="AJ29" t="str">
            <v>146.143.040.221</v>
          </cell>
          <cell r="AK29" t="str">
            <v>WindowsXP(SP2)</v>
          </cell>
          <cell r="AL29" t="str">
            <v>KNL-総務</v>
          </cell>
          <cell r="AM29" t="str">
            <v/>
          </cell>
          <cell r="AN29" t="str">
            <v>201.255.041.001</v>
          </cell>
          <cell r="AO29" t="str">
            <v/>
          </cell>
          <cell r="AP29" t="str">
            <v/>
          </cell>
          <cell r="AQ29" t="str">
            <v>KNG41210</v>
          </cell>
          <cell r="AR29" t="str">
            <v>CCIT</v>
          </cell>
          <cell r="AS29" t="str">
            <v/>
          </cell>
          <cell r="AT29" t="str">
            <v/>
          </cell>
          <cell r="AU29" t="str">
            <v/>
          </cell>
          <cell r="AV29" t="str">
            <v/>
          </cell>
          <cell r="AW29" t="str">
            <v/>
          </cell>
          <cell r="AX29" t="str">
            <v/>
          </cell>
          <cell r="AY29" t="str">
            <v/>
          </cell>
          <cell r="AZ29" t="str">
            <v/>
          </cell>
          <cell r="BB29">
            <v>4680</v>
          </cell>
          <cell r="BD29" t="str">
            <v/>
          </cell>
          <cell r="BE29" t="str">
            <v>SafeBoot</v>
          </cell>
        </row>
        <row r="30">
          <cell r="F30">
            <v>91</v>
          </cell>
          <cell r="G30" t="str">
            <v>201.255.041.207</v>
          </cell>
          <cell r="H30" t="str">
            <v/>
          </cell>
          <cell r="I30" t="str">
            <v>KNL</v>
          </cell>
          <cell r="J30" t="str">
            <v/>
          </cell>
          <cell r="K30" t="str">
            <v>TG07P0089</v>
          </cell>
          <cell r="L30" t="str">
            <v>ﾊﾟﾅｿﾆｯｸﾒｰｶｰ保守</v>
          </cell>
          <cell r="M30">
            <v>39356</v>
          </cell>
          <cell r="N30">
            <v>40816</v>
          </cell>
          <cell r="Q30" t="str">
            <v/>
          </cell>
          <cell r="R30" t="str">
            <v>PC</v>
          </cell>
          <cell r="S30" t="str">
            <v/>
          </cell>
          <cell r="T30" t="str">
            <v>尼崎</v>
          </cell>
          <cell r="U30" t="str">
            <v>北門</v>
          </cell>
          <cell r="V30" t="str">
            <v>ＫＮラボアナリシス</v>
          </cell>
          <cell r="W30" t="str">
            <v>精密洗浄</v>
          </cell>
          <cell r="X30" t="str">
            <v>林田　芳政</v>
          </cell>
          <cell r="Y30" t="str">
            <v>KNG2844</v>
          </cell>
          <cell r="Z30" t="str">
            <v/>
          </cell>
          <cell r="AA30" t="str">
            <v>モバイル</v>
          </cell>
          <cell r="AB30" t="str">
            <v>CF-R6</v>
          </cell>
          <cell r="AC30" t="str">
            <v>CF-R6MW4AXS</v>
          </cell>
          <cell r="AD30" t="str">
            <v>7EKSA18278</v>
          </cell>
          <cell r="AE30" t="str">
            <v>リコーImagio MPC5000</v>
          </cell>
          <cell r="AF30" t="str">
            <v>201.255.041.040</v>
          </cell>
          <cell r="AG30" t="str">
            <v>リコーImagio MPC2800</v>
          </cell>
          <cell r="AH30" t="str">
            <v>201.255.041.162</v>
          </cell>
          <cell r="AI30" t="str">
            <v/>
          </cell>
          <cell r="AJ30" t="str">
            <v/>
          </cell>
          <cell r="AK30" t="str">
            <v>WindowsXP(SP2)</v>
          </cell>
          <cell r="AL30" t="str">
            <v>KNL-精密</v>
          </cell>
          <cell r="AM30" t="str">
            <v/>
          </cell>
          <cell r="AN30" t="str">
            <v>201.255.041.001</v>
          </cell>
          <cell r="AO30" t="str">
            <v>ｾﾝﾁｭﾘｰ・ﾘｰｼﾝｸﾞ・ｼｽﾃﾑ</v>
          </cell>
          <cell r="AP30" t="str">
            <v>L07107058</v>
          </cell>
          <cell r="AQ30" t="str">
            <v>KNG41207</v>
          </cell>
          <cell r="AR30" t="str">
            <v>CCIT</v>
          </cell>
          <cell r="AS30" t="str">
            <v/>
          </cell>
          <cell r="AT30" t="str">
            <v/>
          </cell>
          <cell r="AU30" t="str">
            <v/>
          </cell>
          <cell r="AV30" t="str">
            <v/>
          </cell>
          <cell r="AW30" t="str">
            <v/>
          </cell>
          <cell r="AX30" t="str">
            <v/>
          </cell>
          <cell r="AY30" t="str">
            <v/>
          </cell>
          <cell r="AZ30" t="str">
            <v/>
          </cell>
          <cell r="BD30" t="str">
            <v/>
          </cell>
          <cell r="BE30" t="str">
            <v>SafeBoot</v>
          </cell>
        </row>
        <row r="31">
          <cell r="F31">
            <v>59</v>
          </cell>
          <cell r="G31" t="str">
            <v>146.143.040.059</v>
          </cell>
          <cell r="H31" t="str">
            <v/>
          </cell>
          <cell r="I31" t="str">
            <v>RSI</v>
          </cell>
          <cell r="J31" t="str">
            <v/>
          </cell>
          <cell r="K31" t="str">
            <v/>
          </cell>
          <cell r="L31" t="str">
            <v>ﾊﾟﾅｿﾆｯｸﾒｰｶｰ保守</v>
          </cell>
          <cell r="M31">
            <v>39873</v>
          </cell>
          <cell r="N31">
            <v>41333</v>
          </cell>
          <cell r="Q31" t="str">
            <v/>
          </cell>
          <cell r="R31" t="str">
            <v>PC</v>
          </cell>
          <cell r="S31" t="str">
            <v/>
          </cell>
          <cell r="T31" t="str">
            <v>加古川</v>
          </cell>
          <cell r="U31" t="str">
            <v>加古川工場</v>
          </cell>
          <cell r="V31" t="str">
            <v>ＫＮラボアナリシス</v>
          </cell>
          <cell r="W31" t="str">
            <v>事務所</v>
          </cell>
          <cell r="X31" t="str">
            <v>田中　大六</v>
          </cell>
          <cell r="Y31" t="str">
            <v>KNG2845</v>
          </cell>
          <cell r="Z31" t="str">
            <v/>
          </cell>
          <cell r="AA31" t="str">
            <v>モバイル</v>
          </cell>
          <cell r="AB31" t="str">
            <v>CF-R7</v>
          </cell>
          <cell r="AC31" t="str">
            <v>CF-R7DW6AAS</v>
          </cell>
          <cell r="AD31" t="str">
            <v>8JKSB43741</v>
          </cell>
          <cell r="AE31" t="str">
            <v>リコーImagio MPC4000</v>
          </cell>
          <cell r="AF31" t="str">
            <v>146.143.040.225</v>
          </cell>
          <cell r="AG31" t="str">
            <v>リコーImagio MPC3300</v>
          </cell>
          <cell r="AH31" t="str">
            <v>146.143.040.224</v>
          </cell>
          <cell r="AI31" t="str">
            <v>リコーIpsio SP C310</v>
          </cell>
          <cell r="AJ31" t="str">
            <v>146.143.040.230</v>
          </cell>
          <cell r="AK31" t="str">
            <v>WindowsXP(SP2)</v>
          </cell>
          <cell r="AL31" t="str">
            <v>KNL-03</v>
          </cell>
          <cell r="AM31" t="str">
            <v/>
          </cell>
          <cell r="AN31" t="str">
            <v>146.143.001.001</v>
          </cell>
          <cell r="AO31" t="str">
            <v/>
          </cell>
          <cell r="AP31" t="str">
            <v/>
          </cell>
          <cell r="AQ31" t="str">
            <v>KNP3F059</v>
          </cell>
          <cell r="AR31" t="str">
            <v>CCIT</v>
          </cell>
          <cell r="AS31" t="str">
            <v/>
          </cell>
          <cell r="AT31" t="str">
            <v/>
          </cell>
          <cell r="AU31" t="str">
            <v/>
          </cell>
          <cell r="AV31" t="str">
            <v/>
          </cell>
          <cell r="AW31" t="str">
            <v/>
          </cell>
          <cell r="AX31" t="str">
            <v/>
          </cell>
          <cell r="AY31" t="str">
            <v/>
          </cell>
          <cell r="AZ31" t="str">
            <v/>
          </cell>
          <cell r="BB31">
            <v>4640</v>
          </cell>
          <cell r="BD31" t="str">
            <v/>
          </cell>
          <cell r="BE31" t="str">
            <v>SafeBoot</v>
          </cell>
        </row>
        <row r="32">
          <cell r="F32">
            <v>9</v>
          </cell>
          <cell r="G32" t="str">
            <v>201.255.011.069</v>
          </cell>
          <cell r="H32" t="str">
            <v/>
          </cell>
          <cell r="I32" t="str">
            <v>KN</v>
          </cell>
          <cell r="J32" t="str">
            <v/>
          </cell>
          <cell r="K32" t="str">
            <v>TG08P0002</v>
          </cell>
          <cell r="L32" t="str">
            <v>第３者保守</v>
          </cell>
          <cell r="M32">
            <v>39448</v>
          </cell>
          <cell r="N32">
            <v>40908</v>
          </cell>
          <cell r="Q32" t="str">
            <v/>
          </cell>
          <cell r="R32" t="str">
            <v>PC</v>
          </cell>
          <cell r="S32" t="str">
            <v>無線</v>
          </cell>
          <cell r="T32" t="str">
            <v>尼崎</v>
          </cell>
          <cell r="U32" t="str">
            <v>本社</v>
          </cell>
          <cell r="V32" t="str">
            <v>関西熱化学</v>
          </cell>
          <cell r="W32" t="str">
            <v>経営企画部　企画</v>
          </cell>
          <cell r="X32" t="str">
            <v>川原　映子</v>
          </cell>
          <cell r="Y32" t="str">
            <v>KNG3237</v>
          </cell>
          <cell r="Z32" t="str">
            <v/>
          </cell>
          <cell r="AA32" t="str">
            <v>Safeboot</v>
          </cell>
          <cell r="AB32" t="str">
            <v>ThinkPad R61e</v>
          </cell>
          <cell r="AC32" t="str">
            <v>7649-3YJ</v>
          </cell>
          <cell r="AD32" t="str">
            <v>L3-A4811</v>
          </cell>
          <cell r="AE32" t="str">
            <v>リコーImagio MPC3500</v>
          </cell>
          <cell r="AF32" t="str">
            <v>201.255.011.030</v>
          </cell>
          <cell r="AG32" t="str">
            <v>リコーImagio MPC3000</v>
          </cell>
          <cell r="AH32" t="str">
            <v>201.255.011.027</v>
          </cell>
          <cell r="AI32" t="str">
            <v/>
          </cell>
          <cell r="AJ32" t="str">
            <v/>
          </cell>
          <cell r="AK32" t="str">
            <v>WindowsXP(SP2)</v>
          </cell>
          <cell r="AL32" t="str">
            <v>KN-01</v>
          </cell>
          <cell r="AM32" t="str">
            <v/>
          </cell>
          <cell r="AN32" t="str">
            <v>201.255.011.001</v>
          </cell>
          <cell r="AO32" t="str">
            <v>ｾﾝﾁｭﾘｰ・ﾘｰｼﾝｸﾞ・ｼｽﾃﾑ</v>
          </cell>
          <cell r="AP32" t="str">
            <v>L08017055</v>
          </cell>
          <cell r="AQ32" t="str">
            <v>KNG11069</v>
          </cell>
          <cell r="AR32" t="str">
            <v>CCIT</v>
          </cell>
          <cell r="AS32" t="str">
            <v/>
          </cell>
          <cell r="AT32" t="str">
            <v/>
          </cell>
          <cell r="AU32" t="str">
            <v/>
          </cell>
          <cell r="AV32" t="str">
            <v/>
          </cell>
          <cell r="AW32" t="str">
            <v/>
          </cell>
          <cell r="AX32" t="str">
            <v/>
          </cell>
          <cell r="AY32" t="str">
            <v/>
          </cell>
          <cell r="AZ32" t="str">
            <v/>
          </cell>
          <cell r="BC32">
            <v>800</v>
          </cell>
          <cell r="BD32" t="str">
            <v/>
          </cell>
          <cell r="BE32" t="str">
            <v>SafeBoot</v>
          </cell>
        </row>
        <row r="33">
          <cell r="F33">
            <v>77</v>
          </cell>
          <cell r="G33" t="str">
            <v>201.255.041.226</v>
          </cell>
          <cell r="H33" t="str">
            <v/>
          </cell>
          <cell r="I33" t="str">
            <v>RSI</v>
          </cell>
          <cell r="J33" t="str">
            <v/>
          </cell>
          <cell r="K33" t="str">
            <v/>
          </cell>
          <cell r="L33" t="str">
            <v>ﾊﾟﾅｿﾆｯｸﾒｰｶｰ保守</v>
          </cell>
          <cell r="M33">
            <v>39814</v>
          </cell>
          <cell r="N33">
            <v>41274</v>
          </cell>
          <cell r="Q33" t="str">
            <v/>
          </cell>
          <cell r="R33" t="str">
            <v>PC</v>
          </cell>
          <cell r="S33" t="str">
            <v/>
          </cell>
          <cell r="T33" t="str">
            <v>尼崎</v>
          </cell>
          <cell r="U33" t="str">
            <v>北門</v>
          </cell>
          <cell r="V33" t="str">
            <v>ＫＮラボアナリシス</v>
          </cell>
          <cell r="W33" t="str">
            <v>分析事業部　業務部</v>
          </cell>
          <cell r="X33" t="str">
            <v>小宮　末治</v>
          </cell>
          <cell r="Y33" t="str">
            <v>KNG3254</v>
          </cell>
          <cell r="Z33" t="str">
            <v/>
          </cell>
          <cell r="AA33" t="str">
            <v>モバイル</v>
          </cell>
          <cell r="AB33" t="str">
            <v>CF-R7</v>
          </cell>
          <cell r="AC33" t="str">
            <v>CF-R7CW5AXS</v>
          </cell>
          <cell r="AD33" t="str">
            <v>8DKSA27311</v>
          </cell>
          <cell r="AE33" t="str">
            <v>リコーIpsio SP C711</v>
          </cell>
          <cell r="AF33" t="str">
            <v>201.255.041.217</v>
          </cell>
          <cell r="AG33" t="str">
            <v>リコーImagio MPC3000</v>
          </cell>
          <cell r="AH33" t="str">
            <v>201.255.041.046</v>
          </cell>
          <cell r="AI33" t="str">
            <v/>
          </cell>
          <cell r="AJ33" t="str">
            <v/>
          </cell>
          <cell r="AK33" t="str">
            <v>WindowsXP(SP2)</v>
          </cell>
          <cell r="AL33" t="str">
            <v>KNL-業務</v>
          </cell>
          <cell r="AM33" t="str">
            <v/>
          </cell>
          <cell r="AN33" t="str">
            <v>201.255.041.001</v>
          </cell>
          <cell r="AO33" t="str">
            <v/>
          </cell>
          <cell r="AP33" t="str">
            <v/>
          </cell>
          <cell r="AQ33" t="str">
            <v>KNG41226</v>
          </cell>
          <cell r="AR33" t="str">
            <v>CCIT</v>
          </cell>
          <cell r="AS33" t="str">
            <v/>
          </cell>
          <cell r="AT33" t="str">
            <v/>
          </cell>
          <cell r="AU33" t="str">
            <v/>
          </cell>
          <cell r="AV33" t="str">
            <v/>
          </cell>
          <cell r="AW33" t="str">
            <v/>
          </cell>
          <cell r="AX33" t="str">
            <v/>
          </cell>
          <cell r="AY33" t="str">
            <v/>
          </cell>
          <cell r="AZ33" t="str">
            <v/>
          </cell>
          <cell r="BB33">
            <v>4690</v>
          </cell>
          <cell r="BD33" t="str">
            <v/>
          </cell>
          <cell r="BE33" t="str">
            <v>SafeBoot</v>
          </cell>
        </row>
        <row r="34">
          <cell r="F34">
            <v>38</v>
          </cell>
          <cell r="G34" t="str">
            <v>201.255.011.087</v>
          </cell>
          <cell r="H34" t="str">
            <v/>
          </cell>
          <cell r="I34" t="str">
            <v>KN</v>
          </cell>
          <cell r="J34" t="str">
            <v/>
          </cell>
          <cell r="K34" t="str">
            <v>TG07P0028</v>
          </cell>
          <cell r="L34" t="str">
            <v>第３者保守</v>
          </cell>
          <cell r="M34">
            <v>39173</v>
          </cell>
          <cell r="N34">
            <v>40633</v>
          </cell>
          <cell r="Q34" t="str">
            <v/>
          </cell>
          <cell r="R34" t="str">
            <v>PC</v>
          </cell>
          <cell r="S34" t="str">
            <v>無線</v>
          </cell>
          <cell r="T34" t="str">
            <v>尼崎</v>
          </cell>
          <cell r="U34" t="str">
            <v>本社</v>
          </cell>
          <cell r="V34" t="str">
            <v>関西熱化学</v>
          </cell>
          <cell r="W34" t="str">
            <v>ＣＳＲ推進部</v>
          </cell>
          <cell r="X34" t="str">
            <v>小栗　克彦</v>
          </cell>
          <cell r="Y34" t="str">
            <v>KNG3924</v>
          </cell>
          <cell r="Z34">
            <v>1</v>
          </cell>
          <cell r="AA34" t="str">
            <v>Safeboot</v>
          </cell>
          <cell r="AB34" t="str">
            <v>ThinkPad R60e</v>
          </cell>
          <cell r="AC34" t="str">
            <v>0658-AJ5</v>
          </cell>
          <cell r="AD34" t="str">
            <v>L3-CT273</v>
          </cell>
          <cell r="AE34" t="str">
            <v>リコーImagio MPC3500</v>
          </cell>
          <cell r="AF34" t="str">
            <v>201.255.011.030</v>
          </cell>
          <cell r="AG34" t="str">
            <v>リコーImagio MPC3000</v>
          </cell>
          <cell r="AH34" t="str">
            <v>201.255.011.027</v>
          </cell>
          <cell r="AI34" t="str">
            <v/>
          </cell>
          <cell r="AJ34" t="str">
            <v/>
          </cell>
          <cell r="AK34" t="str">
            <v>WindowsXP(SP2)</v>
          </cell>
          <cell r="AL34" t="str">
            <v>KN-01</v>
          </cell>
          <cell r="AM34" t="str">
            <v>0016D3346A91</v>
          </cell>
          <cell r="AN34" t="str">
            <v>201.255.011.001</v>
          </cell>
          <cell r="AO34" t="str">
            <v>ｾﾝﾁｭﾘｰ・ﾘｰｼﾝｸﾞ・ｼｽﾃﾑ</v>
          </cell>
          <cell r="AP34" t="str">
            <v>L07048701</v>
          </cell>
          <cell r="AQ34" t="str">
            <v>KNG11087</v>
          </cell>
          <cell r="AR34" t="str">
            <v>CCIT</v>
          </cell>
          <cell r="AS34" t="str">
            <v/>
          </cell>
          <cell r="AT34" t="str">
            <v/>
          </cell>
          <cell r="AU34" t="str">
            <v/>
          </cell>
          <cell r="AV34" t="str">
            <v/>
          </cell>
          <cell r="AW34" t="str">
            <v/>
          </cell>
          <cell r="AX34" t="str">
            <v/>
          </cell>
          <cell r="AY34" t="str">
            <v/>
          </cell>
          <cell r="AZ34" t="str">
            <v/>
          </cell>
          <cell r="BC34">
            <v>800</v>
          </cell>
          <cell r="BD34" t="str">
            <v/>
          </cell>
          <cell r="BE34" t="str">
            <v>SafeBoot</v>
          </cell>
        </row>
        <row r="35">
          <cell r="F35">
            <v>24</v>
          </cell>
          <cell r="G35" t="str">
            <v>201.255.011.092</v>
          </cell>
          <cell r="H35" t="str">
            <v/>
          </cell>
          <cell r="I35" t="str">
            <v>RSI</v>
          </cell>
          <cell r="J35" t="str">
            <v/>
          </cell>
          <cell r="K35" t="str">
            <v/>
          </cell>
          <cell r="L35" t="str">
            <v>ﾊﾟﾅｿﾆｯｸﾒｰｶｰ保守</v>
          </cell>
          <cell r="M35">
            <v>39722</v>
          </cell>
          <cell r="N35">
            <v>41182</v>
          </cell>
          <cell r="Q35" t="str">
            <v/>
          </cell>
          <cell r="R35" t="str">
            <v>PC</v>
          </cell>
          <cell r="S35" t="str">
            <v/>
          </cell>
          <cell r="T35" t="str">
            <v>尼崎</v>
          </cell>
          <cell r="U35" t="str">
            <v>本社</v>
          </cell>
          <cell r="V35" t="str">
            <v>関西熱化学</v>
          </cell>
          <cell r="W35" t="str">
            <v>ＣＳＲ推進部</v>
          </cell>
          <cell r="X35" t="str">
            <v>小栗　克彦</v>
          </cell>
          <cell r="Y35" t="str">
            <v>KNG3924</v>
          </cell>
          <cell r="Z35" t="str">
            <v/>
          </cell>
          <cell r="AA35" t="str">
            <v>モバイル</v>
          </cell>
          <cell r="AB35" t="str">
            <v>CF-R7</v>
          </cell>
          <cell r="AC35" t="str">
            <v>CF-R7CW5AXS</v>
          </cell>
          <cell r="AD35" t="str">
            <v>8DKSA27321</v>
          </cell>
          <cell r="AE35" t="str">
            <v/>
          </cell>
          <cell r="AF35" t="str">
            <v/>
          </cell>
          <cell r="AG35" t="str">
            <v/>
          </cell>
          <cell r="AH35" t="str">
            <v/>
          </cell>
          <cell r="AI35" t="str">
            <v/>
          </cell>
          <cell r="AJ35" t="str">
            <v/>
          </cell>
          <cell r="AK35" t="str">
            <v>WindowsXP(SP2)</v>
          </cell>
          <cell r="AL35" t="str">
            <v>KN-01</v>
          </cell>
          <cell r="AM35" t="str">
            <v/>
          </cell>
          <cell r="AN35" t="str">
            <v>201.255.011.001</v>
          </cell>
          <cell r="AO35" t="str">
            <v/>
          </cell>
          <cell r="AP35" t="str">
            <v/>
          </cell>
          <cell r="AQ35" t="str">
            <v>KNG11092</v>
          </cell>
          <cell r="AR35" t="str">
            <v>CCIT</v>
          </cell>
          <cell r="AS35" t="str">
            <v/>
          </cell>
          <cell r="AT35" t="str">
            <v/>
          </cell>
          <cell r="AU35" t="str">
            <v/>
          </cell>
          <cell r="AV35" t="str">
            <v/>
          </cell>
          <cell r="AW35" t="str">
            <v/>
          </cell>
          <cell r="AX35" t="str">
            <v/>
          </cell>
          <cell r="AY35" t="str">
            <v/>
          </cell>
          <cell r="AZ35" t="str">
            <v/>
          </cell>
          <cell r="BB35">
            <v>4680</v>
          </cell>
          <cell r="BD35" t="str">
            <v/>
          </cell>
          <cell r="BE35" t="str">
            <v>SafeBoot</v>
          </cell>
        </row>
        <row r="36">
          <cell r="F36">
            <v>62</v>
          </cell>
          <cell r="G36" t="str">
            <v>146.143.020.058</v>
          </cell>
          <cell r="H36" t="str">
            <v/>
          </cell>
          <cell r="I36" t="str">
            <v>RSI</v>
          </cell>
          <cell r="J36" t="str">
            <v/>
          </cell>
          <cell r="K36" t="str">
            <v/>
          </cell>
          <cell r="L36" t="str">
            <v>ﾊﾟﾅｿﾆｯｸﾒｰｶｰ保守</v>
          </cell>
          <cell r="M36">
            <v>39661</v>
          </cell>
          <cell r="N36">
            <v>41121</v>
          </cell>
          <cell r="Q36" t="str">
            <v/>
          </cell>
          <cell r="R36" t="str">
            <v>PC</v>
          </cell>
          <cell r="S36" t="str">
            <v/>
          </cell>
          <cell r="T36" t="str">
            <v>加古川</v>
          </cell>
          <cell r="U36" t="str">
            <v>加古川工場</v>
          </cell>
          <cell r="V36" t="str">
            <v>カーボンテック</v>
          </cell>
          <cell r="W36" t="str">
            <v>東事務所</v>
          </cell>
          <cell r="X36" t="str">
            <v>坂口　博和</v>
          </cell>
          <cell r="Y36" t="str">
            <v>KNG3302</v>
          </cell>
          <cell r="Z36" t="str">
            <v/>
          </cell>
          <cell r="AA36" t="str">
            <v>モバイル</v>
          </cell>
          <cell r="AB36" t="str">
            <v>CF-R7</v>
          </cell>
          <cell r="AC36" t="str">
            <v>CF-R7CW5AXS</v>
          </cell>
          <cell r="AD36" t="str">
            <v>8DKSA26662</v>
          </cell>
          <cell r="AE36" t="str">
            <v>SHARP MX-4100FN</v>
          </cell>
          <cell r="AF36" t="str">
            <v>146.143.020.224</v>
          </cell>
          <cell r="AG36" t="str">
            <v>リコーImagio MPC3500</v>
          </cell>
          <cell r="AH36" t="str">
            <v>146.143.020.226</v>
          </cell>
          <cell r="AI36" t="str">
            <v/>
          </cell>
          <cell r="AJ36" t="str">
            <v/>
          </cell>
          <cell r="AK36" t="str">
            <v>WindowsXP(SP2)</v>
          </cell>
          <cell r="AL36" t="str">
            <v>CT</v>
          </cell>
          <cell r="AM36" t="str">
            <v/>
          </cell>
          <cell r="AN36" t="str">
            <v>146.143.001.001</v>
          </cell>
          <cell r="AO36" t="str">
            <v/>
          </cell>
          <cell r="AP36" t="str">
            <v/>
          </cell>
          <cell r="AQ36" t="str">
            <v>KNP3D058</v>
          </cell>
          <cell r="AR36" t="str">
            <v>CCIT</v>
          </cell>
          <cell r="AS36" t="str">
            <v/>
          </cell>
          <cell r="AT36" t="str">
            <v/>
          </cell>
          <cell r="AU36" t="str">
            <v/>
          </cell>
          <cell r="AV36" t="str">
            <v/>
          </cell>
          <cell r="AW36" t="str">
            <v/>
          </cell>
          <cell r="AX36" t="str">
            <v/>
          </cell>
          <cell r="AY36" t="str">
            <v/>
          </cell>
          <cell r="AZ36" t="str">
            <v/>
          </cell>
          <cell r="BB36">
            <v>4680</v>
          </cell>
          <cell r="BD36" t="str">
            <v/>
          </cell>
          <cell r="BE36" t="str">
            <v>SafeBoot</v>
          </cell>
        </row>
        <row r="37">
          <cell r="F37">
            <v>54</v>
          </cell>
          <cell r="G37" t="str">
            <v>146.143.010.040</v>
          </cell>
          <cell r="H37" t="str">
            <v/>
          </cell>
          <cell r="I37" t="str">
            <v>KN</v>
          </cell>
          <cell r="J37" t="str">
            <v/>
          </cell>
          <cell r="K37" t="str">
            <v>TG08P0021</v>
          </cell>
          <cell r="L37" t="str">
            <v>第３者保守</v>
          </cell>
          <cell r="M37">
            <v>39508</v>
          </cell>
          <cell r="N37">
            <v>40967</v>
          </cell>
          <cell r="Q37" t="str">
            <v/>
          </cell>
          <cell r="R37" t="str">
            <v>PC</v>
          </cell>
          <cell r="S37" t="str">
            <v/>
          </cell>
          <cell r="T37" t="str">
            <v>加古川</v>
          </cell>
          <cell r="U37" t="str">
            <v>加古川工場</v>
          </cell>
          <cell r="V37" t="str">
            <v>関西熱化学</v>
          </cell>
          <cell r="W37" t="str">
            <v>生産センター　設備課</v>
          </cell>
          <cell r="X37" t="str">
            <v>中木　真</v>
          </cell>
          <cell r="Y37" t="str">
            <v>KNG3306</v>
          </cell>
          <cell r="Z37" t="str">
            <v/>
          </cell>
          <cell r="AA37" t="str">
            <v>Safeboot</v>
          </cell>
          <cell r="AB37" t="str">
            <v>ThinkPad X61s</v>
          </cell>
          <cell r="AC37" t="str">
            <v>7666-77J</v>
          </cell>
          <cell r="AD37" t="str">
            <v>LV-B4770</v>
          </cell>
          <cell r="AE37" t="str">
            <v>リコーImagio MPC3300</v>
          </cell>
          <cell r="AF37" t="str">
            <v>146.143.010.220</v>
          </cell>
          <cell r="AG37" t="str">
            <v>リコーImagio MPC3300</v>
          </cell>
          <cell r="AH37" t="str">
            <v>146.143.010.228</v>
          </cell>
          <cell r="AI37" t="str">
            <v/>
          </cell>
          <cell r="AJ37" t="str">
            <v/>
          </cell>
          <cell r="AK37" t="str">
            <v>WindowsXP(SP3)</v>
          </cell>
          <cell r="AL37" t="str">
            <v>KN-03</v>
          </cell>
          <cell r="AM37" t="str">
            <v/>
          </cell>
          <cell r="AN37" t="str">
            <v>146.143.001.001</v>
          </cell>
          <cell r="AO37" t="str">
            <v>興銀リース</v>
          </cell>
          <cell r="AP37" t="str">
            <v>07-414623</v>
          </cell>
          <cell r="AQ37" t="str">
            <v>KNP3B040</v>
          </cell>
          <cell r="AR37" t="str">
            <v>CCIT</v>
          </cell>
          <cell r="AS37" t="str">
            <v/>
          </cell>
          <cell r="AT37" t="str">
            <v/>
          </cell>
          <cell r="AU37" t="str">
            <v/>
          </cell>
          <cell r="AV37" t="str">
            <v/>
          </cell>
          <cell r="AW37" t="str">
            <v/>
          </cell>
          <cell r="AX37" t="str">
            <v/>
          </cell>
          <cell r="AY37" t="str">
            <v/>
          </cell>
          <cell r="AZ37" t="str">
            <v/>
          </cell>
          <cell r="BC37">
            <v>800</v>
          </cell>
          <cell r="BD37" t="str">
            <v/>
          </cell>
          <cell r="BE37" t="str">
            <v>SafeBoot</v>
          </cell>
        </row>
        <row r="38">
          <cell r="F38">
            <v>99</v>
          </cell>
          <cell r="G38" t="str">
            <v>201.255.041.211</v>
          </cell>
          <cell r="H38" t="str">
            <v/>
          </cell>
          <cell r="I38" t="str">
            <v>KN</v>
          </cell>
          <cell r="J38" t="str">
            <v>有償</v>
          </cell>
          <cell r="K38" t="str">
            <v>TG08P0001</v>
          </cell>
          <cell r="L38" t="str">
            <v>ﾊﾟﾅｿﾆｯｸﾒｰｶｰ保守</v>
          </cell>
          <cell r="M38">
            <v>39448</v>
          </cell>
          <cell r="N38">
            <v>40908</v>
          </cell>
          <cell r="Q38" t="str">
            <v/>
          </cell>
          <cell r="R38" t="str">
            <v>PC</v>
          </cell>
          <cell r="S38" t="str">
            <v/>
          </cell>
          <cell r="T38" t="str">
            <v>尼崎</v>
          </cell>
          <cell r="U38" t="str">
            <v>北門</v>
          </cell>
          <cell r="V38" t="str">
            <v>ＫＮラボアナリシス</v>
          </cell>
          <cell r="W38" t="str">
            <v>分析事業部　業務部</v>
          </cell>
          <cell r="X38" t="str">
            <v>下入佐　信明</v>
          </cell>
          <cell r="Y38" t="str">
            <v>KNG3390</v>
          </cell>
          <cell r="Z38" t="str">
            <v/>
          </cell>
          <cell r="AA38" t="str">
            <v>モバイル</v>
          </cell>
          <cell r="AB38" t="str">
            <v>CF-R6</v>
          </cell>
          <cell r="AC38" t="str">
            <v>CF-R6MW4AXS</v>
          </cell>
          <cell r="AD38" t="str">
            <v>7EKSA21491</v>
          </cell>
          <cell r="AE38" t="str">
            <v>リコーIpsio SP C711</v>
          </cell>
          <cell r="AF38" t="str">
            <v>201.255.041.217</v>
          </cell>
          <cell r="AG38" t="str">
            <v>リコーImagio MPC3000</v>
          </cell>
          <cell r="AH38" t="str">
            <v>201.255.041.046</v>
          </cell>
          <cell r="AI38" t="str">
            <v/>
          </cell>
          <cell r="AJ38" t="str">
            <v/>
          </cell>
          <cell r="AK38" t="str">
            <v>WindowsXP(SP2)</v>
          </cell>
          <cell r="AL38" t="str">
            <v>KN-01</v>
          </cell>
          <cell r="AM38" t="str">
            <v/>
          </cell>
          <cell r="AN38" t="str">
            <v>201.255.041.001</v>
          </cell>
          <cell r="AO38" t="str">
            <v>ｾﾝﾁｭﾘｰ・ﾘｰｼﾝｸﾞ・ｼｽﾃﾑ</v>
          </cell>
          <cell r="AP38" t="str">
            <v>L08017051</v>
          </cell>
          <cell r="AQ38" t="str">
            <v>KNG41211</v>
          </cell>
          <cell r="AR38" t="str">
            <v>CCIT</v>
          </cell>
          <cell r="AS38" t="str">
            <v/>
          </cell>
          <cell r="AT38" t="str">
            <v/>
          </cell>
          <cell r="AU38" t="str">
            <v/>
          </cell>
          <cell r="AV38" t="str">
            <v/>
          </cell>
          <cell r="AW38" t="str">
            <v/>
          </cell>
          <cell r="AX38" t="str">
            <v/>
          </cell>
          <cell r="AY38" t="str">
            <v/>
          </cell>
          <cell r="AZ38" t="str">
            <v>リース物件：請求は松田様より。BO-XI11月から使用開始。</v>
          </cell>
          <cell r="BA38">
            <v>44113</v>
          </cell>
          <cell r="BD38" t="str">
            <v/>
          </cell>
          <cell r="BE38" t="str">
            <v>SafeBoot</v>
          </cell>
        </row>
        <row r="39">
          <cell r="F39">
            <v>123</v>
          </cell>
          <cell r="G39" t="str">
            <v>201.255.041.192</v>
          </cell>
          <cell r="H39" t="str">
            <v/>
          </cell>
          <cell r="I39" t="str">
            <v>RSI</v>
          </cell>
          <cell r="J39" t="str">
            <v/>
          </cell>
          <cell r="K39" t="str">
            <v/>
          </cell>
          <cell r="L39" t="str">
            <v>ﾊﾟﾅｿﾆｯｸﾒｰｶｰ保守</v>
          </cell>
          <cell r="M39">
            <v>39630</v>
          </cell>
          <cell r="N39">
            <v>41090</v>
          </cell>
          <cell r="Q39" t="str">
            <v/>
          </cell>
          <cell r="R39" t="str">
            <v>PC</v>
          </cell>
          <cell r="S39" t="str">
            <v/>
          </cell>
          <cell r="T39" t="str">
            <v>尼崎</v>
          </cell>
          <cell r="U39" t="str">
            <v>北門</v>
          </cell>
          <cell r="V39" t="str">
            <v>ＫＮラボアナリシス</v>
          </cell>
          <cell r="W39" t="str">
            <v>精密洗浄</v>
          </cell>
          <cell r="X39" t="str">
            <v>山本　勧治</v>
          </cell>
          <cell r="Y39" t="str">
            <v>KNG3459</v>
          </cell>
          <cell r="Z39" t="str">
            <v/>
          </cell>
          <cell r="AA39" t="str">
            <v>モバイル</v>
          </cell>
          <cell r="AB39" t="str">
            <v>CF-R7</v>
          </cell>
          <cell r="AC39" t="str">
            <v>CF-R7CW5AXS</v>
          </cell>
          <cell r="AD39" t="str">
            <v>8DKSA26657</v>
          </cell>
          <cell r="AE39" t="str">
            <v>リコーImagio MPC5000</v>
          </cell>
          <cell r="AF39" t="str">
            <v>201.255.041.040</v>
          </cell>
          <cell r="AG39" t="str">
            <v>リコーImagio MPC2800</v>
          </cell>
          <cell r="AH39" t="str">
            <v>201.255.041.162</v>
          </cell>
          <cell r="AI39" t="str">
            <v/>
          </cell>
          <cell r="AJ39" t="str">
            <v/>
          </cell>
          <cell r="AK39" t="str">
            <v>WindowsXP(SP2)</v>
          </cell>
          <cell r="AL39" t="str">
            <v>KNL-精密</v>
          </cell>
          <cell r="AM39" t="str">
            <v/>
          </cell>
          <cell r="AN39" t="str">
            <v>201.255.041.001</v>
          </cell>
          <cell r="AO39" t="str">
            <v/>
          </cell>
          <cell r="AP39" t="str">
            <v/>
          </cell>
          <cell r="AQ39" t="str">
            <v>KNG41192</v>
          </cell>
          <cell r="AR39" t="str">
            <v>CCIT</v>
          </cell>
          <cell r="AS39" t="str">
            <v/>
          </cell>
          <cell r="AT39" t="str">
            <v/>
          </cell>
          <cell r="AU39" t="str">
            <v/>
          </cell>
          <cell r="AV39" t="str">
            <v/>
          </cell>
          <cell r="AW39" t="str">
            <v/>
          </cell>
          <cell r="AX39" t="str">
            <v/>
          </cell>
          <cell r="AY39" t="str">
            <v/>
          </cell>
          <cell r="AZ39" t="str">
            <v/>
          </cell>
          <cell r="BB39">
            <v>4680</v>
          </cell>
          <cell r="BD39" t="str">
            <v/>
          </cell>
          <cell r="BE39" t="str">
            <v>SafeBoot</v>
          </cell>
        </row>
        <row r="40">
          <cell r="F40">
            <v>103</v>
          </cell>
          <cell r="G40" t="str">
            <v>146.143.020.034</v>
          </cell>
          <cell r="H40" t="str">
            <v/>
          </cell>
          <cell r="I40" t="str">
            <v>KN</v>
          </cell>
          <cell r="J40" t="str">
            <v>有償</v>
          </cell>
          <cell r="K40" t="str">
            <v>TG07P0101</v>
          </cell>
          <cell r="L40" t="str">
            <v>ﾊﾟﾅｿﾆｯｸﾒｰｶｰ保守</v>
          </cell>
          <cell r="M40">
            <v>39417</v>
          </cell>
          <cell r="N40">
            <v>40877</v>
          </cell>
          <cell r="Q40" t="str">
            <v/>
          </cell>
          <cell r="R40" t="str">
            <v>PC</v>
          </cell>
          <cell r="S40" t="str">
            <v/>
          </cell>
          <cell r="T40" t="str">
            <v>加古川</v>
          </cell>
          <cell r="U40" t="str">
            <v>加古川工場</v>
          </cell>
          <cell r="V40" t="str">
            <v>カーボンテック</v>
          </cell>
          <cell r="W40" t="str">
            <v>東事務所</v>
          </cell>
          <cell r="X40" t="str">
            <v>朝田　真吾</v>
          </cell>
          <cell r="Y40" t="str">
            <v>KNG3462</v>
          </cell>
          <cell r="Z40">
            <v>1</v>
          </cell>
          <cell r="AA40" t="str">
            <v>モバイル</v>
          </cell>
          <cell r="AB40" t="str">
            <v>CF-R6</v>
          </cell>
          <cell r="AC40" t="str">
            <v>CF-R6AW1AXS</v>
          </cell>
          <cell r="AD40" t="str">
            <v>7JKSA38172</v>
          </cell>
          <cell r="AE40" t="str">
            <v>SHARP MX-4100FN</v>
          </cell>
          <cell r="AF40" t="str">
            <v>146.143.020.224</v>
          </cell>
          <cell r="AG40" t="str">
            <v>リコーImagio MPC3500</v>
          </cell>
          <cell r="AH40" t="str">
            <v>146.143.020.226</v>
          </cell>
          <cell r="AI40" t="str">
            <v/>
          </cell>
          <cell r="AJ40" t="str">
            <v/>
          </cell>
          <cell r="AK40" t="str">
            <v>WindowsXP(SP2)</v>
          </cell>
          <cell r="AL40" t="str">
            <v>CT</v>
          </cell>
          <cell r="AM40" t="str">
            <v/>
          </cell>
          <cell r="AN40" t="str">
            <v>146.143.001.001</v>
          </cell>
          <cell r="AO40" t="str">
            <v>興銀リース</v>
          </cell>
          <cell r="AP40" t="str">
            <v>07-412607</v>
          </cell>
          <cell r="AQ40" t="str">
            <v>KNP3D034</v>
          </cell>
          <cell r="AR40" t="str">
            <v>CCIT</v>
          </cell>
          <cell r="AS40" t="str">
            <v/>
          </cell>
          <cell r="AT40" t="str">
            <v/>
          </cell>
          <cell r="AU40" t="str">
            <v/>
          </cell>
          <cell r="AV40" t="str">
            <v/>
          </cell>
          <cell r="AW40" t="str">
            <v/>
          </cell>
          <cell r="AX40" t="str">
            <v/>
          </cell>
          <cell r="AY40" t="str">
            <v/>
          </cell>
          <cell r="AZ40" t="str">
            <v/>
          </cell>
          <cell r="BA40">
            <v>39364</v>
          </cell>
          <cell r="BD40" t="str">
            <v/>
          </cell>
          <cell r="BE40" t="str">
            <v>SafeBoot</v>
          </cell>
        </row>
        <row r="41">
          <cell r="F41">
            <v>7</v>
          </cell>
          <cell r="G41" t="str">
            <v>201.255.011.053</v>
          </cell>
          <cell r="H41" t="str">
            <v/>
          </cell>
          <cell r="I41" t="str">
            <v>CT</v>
          </cell>
          <cell r="J41" t="str">
            <v/>
          </cell>
          <cell r="K41" t="str">
            <v>TG07P0065</v>
          </cell>
          <cell r="L41" t="str">
            <v>第３者保守</v>
          </cell>
          <cell r="M41">
            <v>39264</v>
          </cell>
          <cell r="N41">
            <v>40724</v>
          </cell>
          <cell r="Q41" t="str">
            <v/>
          </cell>
          <cell r="R41" t="str">
            <v>PC</v>
          </cell>
          <cell r="S41" t="str">
            <v>無線</v>
          </cell>
          <cell r="T41" t="str">
            <v>尼崎</v>
          </cell>
          <cell r="U41" t="str">
            <v>本社</v>
          </cell>
          <cell r="V41" t="str">
            <v>カーボンテック</v>
          </cell>
          <cell r="W41" t="str">
            <v>本社</v>
          </cell>
          <cell r="X41" t="str">
            <v>朝田　真吾</v>
          </cell>
          <cell r="Y41" t="str">
            <v>KNG3462</v>
          </cell>
          <cell r="Z41" t="str">
            <v/>
          </cell>
          <cell r="AA41" t="str">
            <v>Safeboot</v>
          </cell>
          <cell r="AB41" t="str">
            <v>ThinkPad R60e</v>
          </cell>
          <cell r="AC41" t="str">
            <v>0658-BJ6</v>
          </cell>
          <cell r="AD41" t="str">
            <v>L3-DD759</v>
          </cell>
          <cell r="AE41" t="str">
            <v>リコーImagio MPC3500</v>
          </cell>
          <cell r="AF41" t="str">
            <v>201.255.011.030</v>
          </cell>
          <cell r="AG41" t="str">
            <v>リコーImagio MPC3000</v>
          </cell>
          <cell r="AH41" t="str">
            <v>201.255.011.027</v>
          </cell>
          <cell r="AI41" t="str">
            <v/>
          </cell>
          <cell r="AJ41" t="str">
            <v/>
          </cell>
          <cell r="AK41" t="str">
            <v>WindowsXP(SP2)</v>
          </cell>
          <cell r="AL41" t="str">
            <v>CT</v>
          </cell>
          <cell r="AM41" t="str">
            <v>0016D335683E</v>
          </cell>
          <cell r="AN41" t="str">
            <v>146.143.001.001</v>
          </cell>
          <cell r="AO41" t="str">
            <v>協同リース</v>
          </cell>
          <cell r="AP41" t="str">
            <v>A7820295</v>
          </cell>
          <cell r="AQ41" t="str">
            <v>KNG11053</v>
          </cell>
          <cell r="AR41" t="str">
            <v>CCIT</v>
          </cell>
          <cell r="AS41" t="str">
            <v/>
          </cell>
          <cell r="AT41" t="str">
            <v/>
          </cell>
          <cell r="AU41" t="str">
            <v/>
          </cell>
          <cell r="AV41" t="str">
            <v/>
          </cell>
          <cell r="AW41" t="str">
            <v/>
          </cell>
          <cell r="AX41" t="str">
            <v/>
          </cell>
          <cell r="AY41" t="str">
            <v/>
          </cell>
          <cell r="AZ41" t="str">
            <v/>
          </cell>
          <cell r="BC41">
            <v>800</v>
          </cell>
          <cell r="BD41" t="str">
            <v/>
          </cell>
          <cell r="BE41" t="str">
            <v>SafeBoot</v>
          </cell>
        </row>
        <row r="42">
          <cell r="F42">
            <v>140</v>
          </cell>
          <cell r="G42" t="str">
            <v>201.255.041.145</v>
          </cell>
          <cell r="H42" t="str">
            <v/>
          </cell>
          <cell r="I42" t="str">
            <v>RSI</v>
          </cell>
          <cell r="J42" t="str">
            <v/>
          </cell>
          <cell r="K42" t="str">
            <v/>
          </cell>
          <cell r="L42" t="str">
            <v>ﾊﾟﾅｿﾆｯｸﾒｰｶｰ保守</v>
          </cell>
          <cell r="M42">
            <v>39934</v>
          </cell>
          <cell r="N42">
            <v>41394</v>
          </cell>
          <cell r="Q42" t="str">
            <v/>
          </cell>
          <cell r="R42" t="str">
            <v>PC</v>
          </cell>
          <cell r="S42" t="str">
            <v/>
          </cell>
          <cell r="T42" t="str">
            <v>尼崎</v>
          </cell>
          <cell r="U42" t="str">
            <v>北門</v>
          </cell>
          <cell r="V42" t="str">
            <v>ＫＮラボアナリシス</v>
          </cell>
          <cell r="W42" t="str">
            <v>本社</v>
          </cell>
          <cell r="X42" t="str">
            <v>豊田　隆俊</v>
          </cell>
          <cell r="Y42" t="str">
            <v>KNG3463</v>
          </cell>
          <cell r="Z42" t="str">
            <v/>
          </cell>
          <cell r="AA42" t="str">
            <v>モバイル</v>
          </cell>
          <cell r="AB42" t="str">
            <v>CF-R7</v>
          </cell>
          <cell r="AC42" t="str">
            <v>CF-R7CW5AXS</v>
          </cell>
          <cell r="AD42" t="str">
            <v>8JKSB43766</v>
          </cell>
          <cell r="AE42" t="str">
            <v>リコーImagio MPC2500</v>
          </cell>
          <cell r="AF42" t="str">
            <v>201.255.041.021</v>
          </cell>
          <cell r="AG42" t="str">
            <v/>
          </cell>
          <cell r="AH42" t="str">
            <v/>
          </cell>
          <cell r="AI42" t="str">
            <v/>
          </cell>
          <cell r="AJ42" t="str">
            <v/>
          </cell>
          <cell r="AK42" t="str">
            <v>WindowsXP(SP2)</v>
          </cell>
          <cell r="AL42" t="str">
            <v>KNL-総務</v>
          </cell>
          <cell r="AM42" t="str">
            <v/>
          </cell>
          <cell r="AN42" t="str">
            <v>201.255.041.001</v>
          </cell>
          <cell r="AO42" t="str">
            <v/>
          </cell>
          <cell r="AP42" t="str">
            <v/>
          </cell>
          <cell r="AQ42" t="str">
            <v>KNG41145</v>
          </cell>
          <cell r="AR42" t="str">
            <v>CCIT</v>
          </cell>
          <cell r="AS42" t="str">
            <v/>
          </cell>
          <cell r="AT42" t="str">
            <v/>
          </cell>
          <cell r="AU42" t="str">
            <v/>
          </cell>
          <cell r="AV42" t="str">
            <v/>
          </cell>
          <cell r="AW42" t="str">
            <v/>
          </cell>
          <cell r="AX42" t="str">
            <v/>
          </cell>
          <cell r="AY42" t="str">
            <v/>
          </cell>
          <cell r="AZ42" t="str">
            <v/>
          </cell>
          <cell r="BB42">
            <v>4640</v>
          </cell>
          <cell r="BD42" t="str">
            <v/>
          </cell>
          <cell r="BE42" t="str">
            <v>SafeBoot</v>
          </cell>
        </row>
        <row r="43">
          <cell r="F43">
            <v>65</v>
          </cell>
          <cell r="G43" t="str">
            <v>146.143.020.051</v>
          </cell>
          <cell r="H43" t="str">
            <v/>
          </cell>
          <cell r="I43" t="str">
            <v>RSI</v>
          </cell>
          <cell r="J43" t="str">
            <v/>
          </cell>
          <cell r="K43" t="str">
            <v/>
          </cell>
          <cell r="L43" t="str">
            <v>第３者保守</v>
          </cell>
          <cell r="M43">
            <v>39661</v>
          </cell>
          <cell r="N43">
            <v>41121</v>
          </cell>
          <cell r="Q43" t="str">
            <v/>
          </cell>
          <cell r="R43" t="str">
            <v>PC</v>
          </cell>
          <cell r="S43" t="str">
            <v/>
          </cell>
          <cell r="T43" t="str">
            <v>加古川</v>
          </cell>
          <cell r="U43" t="str">
            <v>加古川工場</v>
          </cell>
          <cell r="V43" t="str">
            <v>カーボンテック</v>
          </cell>
          <cell r="W43" t="str">
            <v>東事務所</v>
          </cell>
          <cell r="X43" t="str">
            <v>石田　一秀</v>
          </cell>
          <cell r="Y43" t="str">
            <v>KNG3464</v>
          </cell>
          <cell r="Z43" t="str">
            <v/>
          </cell>
          <cell r="AA43" t="str">
            <v>モバイル</v>
          </cell>
          <cell r="AB43" t="str">
            <v>FMV-B8250</v>
          </cell>
          <cell r="AC43" t="str">
            <v>CP358901</v>
          </cell>
          <cell r="AD43" t="str">
            <v>R8303500</v>
          </cell>
          <cell r="AE43" t="str">
            <v>SHARP MX-4100FN</v>
          </cell>
          <cell r="AF43" t="str">
            <v>146.143.020.224</v>
          </cell>
          <cell r="AG43" t="str">
            <v>リコーImagio MPC3500</v>
          </cell>
          <cell r="AH43" t="str">
            <v>146.143.020.226</v>
          </cell>
          <cell r="AI43" t="str">
            <v/>
          </cell>
          <cell r="AJ43" t="str">
            <v/>
          </cell>
          <cell r="AK43" t="str">
            <v>WindowsXP(SP2)</v>
          </cell>
          <cell r="AL43" t="str">
            <v>CT</v>
          </cell>
          <cell r="AM43" t="str">
            <v/>
          </cell>
          <cell r="AN43" t="str">
            <v>146.143.001.001</v>
          </cell>
          <cell r="AO43" t="str">
            <v/>
          </cell>
          <cell r="AP43" t="str">
            <v/>
          </cell>
          <cell r="AQ43" t="str">
            <v>KNP3D051</v>
          </cell>
          <cell r="AR43" t="str">
            <v>CCIT</v>
          </cell>
          <cell r="AS43" t="str">
            <v/>
          </cell>
          <cell r="AT43" t="str">
            <v/>
          </cell>
          <cell r="AU43" t="str">
            <v/>
          </cell>
          <cell r="AV43" t="str">
            <v/>
          </cell>
          <cell r="AW43" t="str">
            <v/>
          </cell>
          <cell r="AX43" t="str">
            <v/>
          </cell>
          <cell r="AY43" t="str">
            <v/>
          </cell>
          <cell r="AZ43" t="str">
            <v/>
          </cell>
          <cell r="BB43">
            <v>3490</v>
          </cell>
          <cell r="BC43">
            <v>800</v>
          </cell>
          <cell r="BD43" t="str">
            <v/>
          </cell>
          <cell r="BE43" t="str">
            <v>SafeBoot</v>
          </cell>
        </row>
        <row r="44">
          <cell r="F44">
            <v>50</v>
          </cell>
          <cell r="G44" t="str">
            <v>146.143.010.068</v>
          </cell>
          <cell r="H44" t="str">
            <v/>
          </cell>
          <cell r="I44" t="str">
            <v>KN</v>
          </cell>
          <cell r="J44" t="str">
            <v/>
          </cell>
          <cell r="K44" t="str">
            <v>TG07P0071</v>
          </cell>
          <cell r="L44" t="str">
            <v>ﾊﾟﾅｿﾆｯｸﾒｰｶｰ保守</v>
          </cell>
          <cell r="M44">
            <v>39295</v>
          </cell>
          <cell r="N44">
            <v>40755</v>
          </cell>
          <cell r="Q44" t="str">
            <v/>
          </cell>
          <cell r="R44" t="str">
            <v>PC</v>
          </cell>
          <cell r="S44" t="str">
            <v/>
          </cell>
          <cell r="T44" t="str">
            <v>加古川</v>
          </cell>
          <cell r="U44" t="str">
            <v>加古川工場</v>
          </cell>
          <cell r="V44" t="str">
            <v>関西熱化学</v>
          </cell>
          <cell r="W44" t="str">
            <v>企画管理部　企画管理部長付</v>
          </cell>
          <cell r="X44" t="str">
            <v>野島　隆</v>
          </cell>
          <cell r="Y44" t="str">
            <v>KNG3465</v>
          </cell>
          <cell r="Z44" t="str">
            <v/>
          </cell>
          <cell r="AA44" t="str">
            <v>モバイル</v>
          </cell>
          <cell r="AB44" t="str">
            <v>CF-R6</v>
          </cell>
          <cell r="AC44" t="str">
            <v>CF-R6MW4AXS</v>
          </cell>
          <cell r="AD44" t="str">
            <v>7EKSA18255</v>
          </cell>
          <cell r="AE44" t="str">
            <v>リコーImagio MPC3300</v>
          </cell>
          <cell r="AF44" t="str">
            <v>146.143.010.228</v>
          </cell>
          <cell r="AG44" t="str">
            <v/>
          </cell>
          <cell r="AH44" t="str">
            <v/>
          </cell>
          <cell r="AI44" t="str">
            <v/>
          </cell>
          <cell r="AJ44" t="str">
            <v/>
          </cell>
          <cell r="AK44" t="str">
            <v>WindowsXP(SP2)</v>
          </cell>
          <cell r="AL44" t="str">
            <v>KN-03</v>
          </cell>
          <cell r="AM44" t="str">
            <v/>
          </cell>
          <cell r="AN44" t="str">
            <v>146.143.001.001</v>
          </cell>
          <cell r="AO44" t="str">
            <v>ｾﾝﾁｭﾘｰ・ﾘｰｼﾝｸﾞ・ｼｽﾃﾑ</v>
          </cell>
          <cell r="AP44" t="str">
            <v>L07078934</v>
          </cell>
          <cell r="AQ44" t="str">
            <v>KNP3B068</v>
          </cell>
          <cell r="AR44" t="str">
            <v>CCIT</v>
          </cell>
          <cell r="AS44" t="str">
            <v/>
          </cell>
          <cell r="AT44" t="str">
            <v/>
          </cell>
          <cell r="AU44" t="str">
            <v/>
          </cell>
          <cell r="AV44" t="str">
            <v/>
          </cell>
          <cell r="AW44" t="str">
            <v/>
          </cell>
          <cell r="AX44" t="str">
            <v/>
          </cell>
          <cell r="AY44" t="str">
            <v/>
          </cell>
          <cell r="AZ44" t="str">
            <v/>
          </cell>
          <cell r="BA44">
            <v>46000</v>
          </cell>
          <cell r="BB44">
            <v>5010</v>
          </cell>
          <cell r="BD44" t="str">
            <v/>
          </cell>
          <cell r="BE44" t="str">
            <v>SafeBoot</v>
          </cell>
        </row>
        <row r="45">
          <cell r="F45">
            <v>118</v>
          </cell>
          <cell r="G45" t="str">
            <v>201.255.011.125</v>
          </cell>
          <cell r="H45" t="str">
            <v/>
          </cell>
          <cell r="I45" t="str">
            <v>KN</v>
          </cell>
          <cell r="J45" t="str">
            <v/>
          </cell>
          <cell r="K45" t="str">
            <v>TG07P0061</v>
          </cell>
          <cell r="L45" t="str">
            <v>第３者保守</v>
          </cell>
          <cell r="M45">
            <v>39264</v>
          </cell>
          <cell r="N45">
            <v>40724</v>
          </cell>
          <cell r="Q45" t="str">
            <v/>
          </cell>
          <cell r="R45" t="str">
            <v>PC</v>
          </cell>
          <cell r="S45" t="str">
            <v>無線</v>
          </cell>
          <cell r="T45" t="str">
            <v>尼崎</v>
          </cell>
          <cell r="U45" t="str">
            <v>本社</v>
          </cell>
          <cell r="V45" t="str">
            <v>関西熱化学</v>
          </cell>
          <cell r="W45" t="str">
            <v>監査室</v>
          </cell>
          <cell r="X45" t="str">
            <v>陣内　善正</v>
          </cell>
          <cell r="Y45" t="str">
            <v>KNG3471</v>
          </cell>
          <cell r="Z45" t="str">
            <v/>
          </cell>
          <cell r="AA45" t="str">
            <v>モバイル</v>
          </cell>
          <cell r="AB45" t="str">
            <v>ThinkPad X60</v>
          </cell>
          <cell r="AC45" t="str">
            <v>1760-25J (1706-AJ1)</v>
          </cell>
          <cell r="AD45" t="str">
            <v>LV-L9204</v>
          </cell>
          <cell r="AE45" t="str">
            <v>リコーImagio MPC3500</v>
          </cell>
          <cell r="AF45" t="str">
            <v>201.255.011.030</v>
          </cell>
          <cell r="AG45" t="str">
            <v/>
          </cell>
          <cell r="AH45" t="str">
            <v/>
          </cell>
          <cell r="AI45" t="str">
            <v/>
          </cell>
          <cell r="AJ45" t="str">
            <v/>
          </cell>
          <cell r="AK45" t="str">
            <v>WindowsXP(SP2)</v>
          </cell>
          <cell r="AL45" t="str">
            <v>KN-01</v>
          </cell>
          <cell r="AM45" t="str">
            <v/>
          </cell>
          <cell r="AN45" t="str">
            <v>201.255.011.001</v>
          </cell>
          <cell r="AO45" t="str">
            <v>協同リース</v>
          </cell>
          <cell r="AP45" t="str">
            <v>A7820292</v>
          </cell>
          <cell r="AQ45" t="str">
            <v>KNG11125</v>
          </cell>
          <cell r="AR45" t="str">
            <v>CCIT</v>
          </cell>
          <cell r="AS45" t="str">
            <v/>
          </cell>
          <cell r="AT45" t="str">
            <v/>
          </cell>
          <cell r="AU45" t="str">
            <v/>
          </cell>
          <cell r="AV45" t="str">
            <v/>
          </cell>
          <cell r="AW45" t="str">
            <v/>
          </cell>
          <cell r="AX45" t="str">
            <v/>
          </cell>
          <cell r="AY45" t="str">
            <v/>
          </cell>
          <cell r="AZ45" t="str">
            <v>無線内臓ではない</v>
          </cell>
          <cell r="BA45">
            <v>37143</v>
          </cell>
          <cell r="BC45">
            <v>800</v>
          </cell>
          <cell r="BD45" t="str">
            <v/>
          </cell>
          <cell r="BE45" t="str">
            <v>SafeBoot</v>
          </cell>
        </row>
        <row r="46">
          <cell r="F46">
            <v>35</v>
          </cell>
          <cell r="G46" t="str">
            <v>201.255.011.077</v>
          </cell>
          <cell r="H46" t="str">
            <v/>
          </cell>
          <cell r="I46" t="str">
            <v>KN</v>
          </cell>
          <cell r="J46" t="str">
            <v>有償</v>
          </cell>
          <cell r="K46" t="str">
            <v>TG07P0078</v>
          </cell>
          <cell r="L46" t="str">
            <v>第３者保守</v>
          </cell>
          <cell r="M46">
            <v>39326</v>
          </cell>
          <cell r="N46">
            <v>40786</v>
          </cell>
          <cell r="Q46" t="str">
            <v/>
          </cell>
          <cell r="R46" t="str">
            <v>PC</v>
          </cell>
          <cell r="S46" t="str">
            <v>無線</v>
          </cell>
          <cell r="T46" t="str">
            <v>尼崎</v>
          </cell>
          <cell r="U46" t="str">
            <v>本社</v>
          </cell>
          <cell r="V46" t="str">
            <v>ＫＮエンタープライズ</v>
          </cell>
          <cell r="W46" t="str">
            <v>ソフトウェア事業部</v>
          </cell>
          <cell r="X46" t="str">
            <v>田中　和典</v>
          </cell>
          <cell r="Y46" t="str">
            <v>KNG3478</v>
          </cell>
          <cell r="Z46" t="str">
            <v/>
          </cell>
          <cell r="AA46" t="str">
            <v>Safeboot</v>
          </cell>
          <cell r="AB46" t="str">
            <v>ThinkPad R60e</v>
          </cell>
          <cell r="AC46" t="str">
            <v>0658-BJ6</v>
          </cell>
          <cell r="AD46" t="str">
            <v>L3-GC304</v>
          </cell>
          <cell r="AE46" t="str">
            <v>EPSON LP-8900N3</v>
          </cell>
          <cell r="AF46" t="str">
            <v>201.255.011.025</v>
          </cell>
          <cell r="AG46" t="str">
            <v/>
          </cell>
          <cell r="AH46" t="str">
            <v/>
          </cell>
          <cell r="AI46" t="str">
            <v/>
          </cell>
          <cell r="AJ46" t="str">
            <v/>
          </cell>
          <cell r="AK46" t="str">
            <v>WindowsXP(SP2)</v>
          </cell>
          <cell r="AL46" t="str">
            <v>KN-01</v>
          </cell>
          <cell r="AM46" t="str">
            <v>0016D3B84B28</v>
          </cell>
          <cell r="AN46" t="str">
            <v>201.255.011.001</v>
          </cell>
          <cell r="AO46" t="str">
            <v>協同リース</v>
          </cell>
          <cell r="AP46" t="str">
            <v>A7820437</v>
          </cell>
          <cell r="AQ46" t="str">
            <v>KNG11077</v>
          </cell>
          <cell r="AR46" t="str">
            <v>CCIT</v>
          </cell>
          <cell r="AS46" t="str">
            <v/>
          </cell>
          <cell r="AT46" t="str">
            <v/>
          </cell>
          <cell r="AU46" t="str">
            <v/>
          </cell>
          <cell r="AV46" t="str">
            <v/>
          </cell>
          <cell r="AW46" t="str">
            <v/>
          </cell>
          <cell r="AX46" t="str">
            <v/>
          </cell>
          <cell r="AY46" t="str">
            <v/>
          </cell>
          <cell r="AZ46" t="str">
            <v/>
          </cell>
          <cell r="BC46">
            <v>800</v>
          </cell>
          <cell r="BD46" t="str">
            <v/>
          </cell>
          <cell r="BE46" t="str">
            <v>SafeBoot</v>
          </cell>
        </row>
        <row r="47">
          <cell r="F47">
            <v>139</v>
          </cell>
          <cell r="G47" t="str">
            <v>201.255.041.150</v>
          </cell>
          <cell r="H47" t="str">
            <v/>
          </cell>
          <cell r="I47" t="str">
            <v>KNL</v>
          </cell>
          <cell r="J47" t="str">
            <v/>
          </cell>
          <cell r="K47" t="str">
            <v>TG07P0054</v>
          </cell>
          <cell r="L47" t="str">
            <v>第３者保守</v>
          </cell>
          <cell r="M47">
            <v>39234</v>
          </cell>
          <cell r="N47">
            <v>40694</v>
          </cell>
          <cell r="Q47" t="str">
            <v/>
          </cell>
          <cell r="R47" t="str">
            <v>PC</v>
          </cell>
          <cell r="S47" t="str">
            <v/>
          </cell>
          <cell r="T47" t="str">
            <v>尼崎</v>
          </cell>
          <cell r="U47" t="str">
            <v>北門</v>
          </cell>
          <cell r="V47" t="str">
            <v>ＫＮラボアナリシス</v>
          </cell>
          <cell r="W47" t="str">
            <v>精密洗浄</v>
          </cell>
          <cell r="X47" t="str">
            <v>久保田　　宝三</v>
          </cell>
          <cell r="Y47" t="str">
            <v>KNG3480</v>
          </cell>
          <cell r="Z47" t="str">
            <v/>
          </cell>
          <cell r="AA47" t="str">
            <v>Safeboot</v>
          </cell>
          <cell r="AB47" t="str">
            <v>ThinkPad R60e</v>
          </cell>
          <cell r="AC47" t="str">
            <v>0658-BJ6</v>
          </cell>
          <cell r="AD47" t="str">
            <v>L3-DD742</v>
          </cell>
          <cell r="AE47" t="str">
            <v>リコーImagio MPC5000</v>
          </cell>
          <cell r="AF47" t="str">
            <v>201.255.041.040</v>
          </cell>
          <cell r="AG47" t="str">
            <v>リコーImagio MPC2800</v>
          </cell>
          <cell r="AH47" t="str">
            <v>201.255.041.162</v>
          </cell>
          <cell r="AI47" t="str">
            <v/>
          </cell>
          <cell r="AJ47" t="str">
            <v/>
          </cell>
          <cell r="AK47" t="str">
            <v>WindowsXP(SP2)</v>
          </cell>
          <cell r="AL47" t="str">
            <v>KNL-精密</v>
          </cell>
          <cell r="AM47" t="str">
            <v>0016D3356589</v>
          </cell>
          <cell r="AN47" t="str">
            <v>201.255.041.001</v>
          </cell>
          <cell r="AO47" t="str">
            <v>興銀リース</v>
          </cell>
          <cell r="AP47" t="str">
            <v>07-408419</v>
          </cell>
          <cell r="AQ47" t="str">
            <v>KNG41150</v>
          </cell>
          <cell r="AR47" t="str">
            <v>CCIT</v>
          </cell>
          <cell r="AS47" t="str">
            <v/>
          </cell>
          <cell r="AT47" t="str">
            <v/>
          </cell>
          <cell r="AU47" t="str">
            <v/>
          </cell>
          <cell r="AV47" t="str">
            <v/>
          </cell>
          <cell r="AW47" t="str">
            <v/>
          </cell>
          <cell r="AX47" t="str">
            <v/>
          </cell>
          <cell r="AY47" t="str">
            <v/>
          </cell>
          <cell r="AZ47" t="str">
            <v/>
          </cell>
          <cell r="BC47">
            <v>800</v>
          </cell>
          <cell r="BD47" t="str">
            <v/>
          </cell>
          <cell r="BE47" t="str">
            <v>SafeBoot</v>
          </cell>
        </row>
        <row r="48">
          <cell r="F48">
            <v>88</v>
          </cell>
          <cell r="G48" t="str">
            <v>201.255.061.069</v>
          </cell>
          <cell r="H48" t="str">
            <v/>
          </cell>
          <cell r="I48" t="str">
            <v>RSI</v>
          </cell>
          <cell r="J48" t="str">
            <v/>
          </cell>
          <cell r="K48" t="str">
            <v/>
          </cell>
          <cell r="L48" t="str">
            <v>ﾊﾟﾅｿﾆｯｸﾒｰｶｰ保守</v>
          </cell>
          <cell r="M48">
            <v>39934</v>
          </cell>
          <cell r="N48">
            <v>41394</v>
          </cell>
          <cell r="Q48" t="str">
            <v/>
          </cell>
          <cell r="R48" t="str">
            <v>PC</v>
          </cell>
          <cell r="S48" t="str">
            <v/>
          </cell>
          <cell r="T48" t="str">
            <v>尼崎</v>
          </cell>
          <cell r="U48" t="str">
            <v>研究開発センター</v>
          </cell>
          <cell r="V48" t="str">
            <v>ＫＮラボアナリシス</v>
          </cell>
          <cell r="W48" t="str">
            <v>企画開発部</v>
          </cell>
          <cell r="X48" t="str">
            <v>武内　正己</v>
          </cell>
          <cell r="Y48" t="str">
            <v>KNG3668</v>
          </cell>
          <cell r="Z48" t="str">
            <v/>
          </cell>
          <cell r="AA48" t="str">
            <v>モバイル</v>
          </cell>
          <cell r="AB48" t="str">
            <v>CF-R7</v>
          </cell>
          <cell r="AC48" t="str">
            <v>CF-R7DW6AAS</v>
          </cell>
          <cell r="AD48" t="str">
            <v>8JKSB43702</v>
          </cell>
          <cell r="AE48" t="str">
            <v/>
          </cell>
          <cell r="AF48" t="str">
            <v/>
          </cell>
          <cell r="AG48" t="str">
            <v/>
          </cell>
          <cell r="AH48" t="str">
            <v/>
          </cell>
          <cell r="AI48" t="str">
            <v/>
          </cell>
          <cell r="AJ48" t="str">
            <v/>
          </cell>
          <cell r="AK48" t="str">
            <v>WindowsXP(SP2)</v>
          </cell>
          <cell r="AL48" t="str">
            <v>KNL業務</v>
          </cell>
          <cell r="AM48" t="str">
            <v/>
          </cell>
          <cell r="AN48" t="str">
            <v>201.255.061.001</v>
          </cell>
          <cell r="AO48" t="str">
            <v/>
          </cell>
          <cell r="AP48" t="str">
            <v/>
          </cell>
          <cell r="AQ48" t="str">
            <v>KNG61069</v>
          </cell>
          <cell r="AR48" t="str">
            <v>CCIT</v>
          </cell>
          <cell r="AS48" t="str">
            <v/>
          </cell>
          <cell r="AT48" t="str">
            <v/>
          </cell>
          <cell r="AU48" t="str">
            <v/>
          </cell>
          <cell r="AV48" t="str">
            <v/>
          </cell>
          <cell r="AW48" t="str">
            <v/>
          </cell>
          <cell r="AX48" t="str">
            <v/>
          </cell>
          <cell r="AY48" t="str">
            <v/>
          </cell>
          <cell r="AZ48" t="str">
            <v/>
          </cell>
          <cell r="BB48">
            <v>4640</v>
          </cell>
          <cell r="BD48" t="str">
            <v/>
          </cell>
          <cell r="BE48" t="str">
            <v>SafeBoot</v>
          </cell>
        </row>
        <row r="49">
          <cell r="F49">
            <v>74</v>
          </cell>
          <cell r="G49" t="str">
            <v>146.143.010.204</v>
          </cell>
          <cell r="H49" t="str">
            <v/>
          </cell>
          <cell r="I49" t="str">
            <v>KN</v>
          </cell>
          <cell r="J49" t="str">
            <v/>
          </cell>
          <cell r="K49" t="str">
            <v>TG07P0002</v>
          </cell>
          <cell r="L49" t="str">
            <v>ﾊﾟﾅｿﾆｯｸﾒｰｶｰ保守</v>
          </cell>
          <cell r="M49">
            <v>39083</v>
          </cell>
          <cell r="N49">
            <v>40543</v>
          </cell>
          <cell r="Q49" t="str">
            <v/>
          </cell>
          <cell r="R49" t="str">
            <v>PC</v>
          </cell>
          <cell r="S49" t="str">
            <v/>
          </cell>
          <cell r="T49" t="str">
            <v>加古川</v>
          </cell>
          <cell r="U49" t="str">
            <v>加古川工場</v>
          </cell>
          <cell r="V49" t="str">
            <v>関西熱化学</v>
          </cell>
          <cell r="W49" t="str">
            <v>環境保安部</v>
          </cell>
          <cell r="X49" t="str">
            <v>大前　誠良</v>
          </cell>
          <cell r="Y49" t="str">
            <v>KNG3672</v>
          </cell>
          <cell r="Z49" t="str">
            <v/>
          </cell>
          <cell r="AA49" t="str">
            <v>モバイル</v>
          </cell>
          <cell r="AB49" t="str">
            <v>CF-R5</v>
          </cell>
          <cell r="AC49" t="str">
            <v>CF-R5KC4AXS</v>
          </cell>
          <cell r="AD49" t="str">
            <v>6GKSA15546</v>
          </cell>
          <cell r="AE49" t="str">
            <v/>
          </cell>
          <cell r="AF49" t="str">
            <v/>
          </cell>
          <cell r="AG49" t="str">
            <v/>
          </cell>
          <cell r="AH49" t="str">
            <v/>
          </cell>
          <cell r="AI49" t="str">
            <v/>
          </cell>
          <cell r="AJ49" t="str">
            <v/>
          </cell>
          <cell r="AK49" t="str">
            <v>WindowsXP(SP2)</v>
          </cell>
          <cell r="AL49" t="str">
            <v>KN-03</v>
          </cell>
          <cell r="AM49" t="str">
            <v/>
          </cell>
          <cell r="AN49" t="str">
            <v>146.143.001.001</v>
          </cell>
          <cell r="AO49" t="str">
            <v>ｾﾝﾁｭﾘｰ・ﾘｰｼﾝｸﾞ・ｼｽﾃﾑ</v>
          </cell>
          <cell r="AP49" t="str">
            <v>L07017156</v>
          </cell>
          <cell r="AQ49" t="str">
            <v>KNP3B204</v>
          </cell>
          <cell r="AR49" t="str">
            <v>CCIT</v>
          </cell>
          <cell r="AS49" t="str">
            <v/>
          </cell>
          <cell r="AT49" t="str">
            <v/>
          </cell>
          <cell r="AU49" t="str">
            <v/>
          </cell>
          <cell r="AV49" t="str">
            <v/>
          </cell>
          <cell r="AW49" t="str">
            <v/>
          </cell>
          <cell r="AX49" t="str">
            <v/>
          </cell>
          <cell r="AY49" t="str">
            <v/>
          </cell>
          <cell r="AZ49" t="str">
            <v/>
          </cell>
          <cell r="BB49">
            <v>4940</v>
          </cell>
          <cell r="BD49" t="str">
            <v/>
          </cell>
          <cell r="BE49" t="str">
            <v>SafeBoot</v>
          </cell>
        </row>
        <row r="50">
          <cell r="F50">
            <v>51</v>
          </cell>
          <cell r="G50" t="str">
            <v>146.143.010.066</v>
          </cell>
          <cell r="H50" t="str">
            <v/>
          </cell>
          <cell r="I50" t="str">
            <v>KN</v>
          </cell>
          <cell r="J50" t="str">
            <v/>
          </cell>
          <cell r="K50" t="str">
            <v>TG07P0086</v>
          </cell>
          <cell r="L50" t="str">
            <v>第３者保守</v>
          </cell>
          <cell r="M50">
            <v>39356</v>
          </cell>
          <cell r="N50">
            <v>40816</v>
          </cell>
          <cell r="Q50" t="str">
            <v/>
          </cell>
          <cell r="R50" t="str">
            <v>PC</v>
          </cell>
          <cell r="S50" t="str">
            <v/>
          </cell>
          <cell r="T50" t="str">
            <v>加古川</v>
          </cell>
          <cell r="U50" t="str">
            <v>加古川工場</v>
          </cell>
          <cell r="V50" t="str">
            <v>関西熱化学</v>
          </cell>
          <cell r="W50" t="str">
            <v>生産センター　生産管理Gr</v>
          </cell>
          <cell r="X50" t="str">
            <v>西片　孝</v>
          </cell>
          <cell r="Y50" t="str">
            <v>KNG3677</v>
          </cell>
          <cell r="Z50" t="str">
            <v/>
          </cell>
          <cell r="AA50" t="str">
            <v>Safeboot</v>
          </cell>
          <cell r="AB50" t="str">
            <v>ThinkPad R60e</v>
          </cell>
          <cell r="AC50" t="str">
            <v>0658-BJ6</v>
          </cell>
          <cell r="AD50" t="str">
            <v>L3-GC244</v>
          </cell>
          <cell r="AE50" t="str">
            <v>リコーIpsio SP C820</v>
          </cell>
          <cell r="AF50" t="str">
            <v>146.143.010.221</v>
          </cell>
          <cell r="AG50" t="str">
            <v>リコーImagio MPC4000</v>
          </cell>
          <cell r="AH50" t="str">
            <v>146.143.010.227</v>
          </cell>
          <cell r="AI50" t="str">
            <v>リコーImagio MPC2800</v>
          </cell>
          <cell r="AJ50" t="str">
            <v>146.143.010.233</v>
          </cell>
          <cell r="AK50" t="str">
            <v>WindowsXP(SP2)</v>
          </cell>
          <cell r="AL50" t="str">
            <v>KN-03</v>
          </cell>
          <cell r="AM50" t="str">
            <v>0016D3B84B73</v>
          </cell>
          <cell r="AN50" t="str">
            <v>146.143.001.001</v>
          </cell>
          <cell r="AO50" t="str">
            <v>ｾﾝﾁｭﾘｰ・ﾘｰｼﾝｸﾞ・ｼｽﾃﾑ</v>
          </cell>
          <cell r="AP50" t="str">
            <v>L07107062</v>
          </cell>
          <cell r="AQ50" t="str">
            <v>KNP3B066</v>
          </cell>
          <cell r="AR50" t="str">
            <v>CCIT</v>
          </cell>
          <cell r="AS50" t="str">
            <v/>
          </cell>
          <cell r="AT50" t="str">
            <v/>
          </cell>
          <cell r="AU50" t="str">
            <v/>
          </cell>
          <cell r="AV50" t="str">
            <v/>
          </cell>
          <cell r="AW50" t="str">
            <v/>
          </cell>
          <cell r="AX50" t="str">
            <v/>
          </cell>
          <cell r="AY50" t="str">
            <v/>
          </cell>
          <cell r="AZ50" t="str">
            <v/>
          </cell>
          <cell r="BC50">
            <v>800</v>
          </cell>
          <cell r="BD50" t="str">
            <v/>
          </cell>
          <cell r="BE50" t="str">
            <v>SafeBoot</v>
          </cell>
        </row>
        <row r="51">
          <cell r="F51">
            <v>122</v>
          </cell>
          <cell r="G51" t="str">
            <v>201.255.011.120</v>
          </cell>
          <cell r="H51" t="str">
            <v/>
          </cell>
          <cell r="I51" t="str">
            <v>KN</v>
          </cell>
          <cell r="J51" t="str">
            <v/>
          </cell>
          <cell r="K51" t="str">
            <v>TG07P0074</v>
          </cell>
          <cell r="L51" t="str">
            <v>第３者保守</v>
          </cell>
          <cell r="M51">
            <v>39295</v>
          </cell>
          <cell r="N51">
            <v>40755</v>
          </cell>
          <cell r="Q51" t="str">
            <v/>
          </cell>
          <cell r="R51" t="str">
            <v>PC</v>
          </cell>
          <cell r="S51" t="str">
            <v>無線</v>
          </cell>
          <cell r="T51" t="str">
            <v>尼崎</v>
          </cell>
          <cell r="U51" t="str">
            <v>本社</v>
          </cell>
          <cell r="V51" t="str">
            <v>関西熱化学</v>
          </cell>
          <cell r="W51" t="str">
            <v>経理財務部</v>
          </cell>
          <cell r="X51" t="str">
            <v>鳩崎　則子</v>
          </cell>
          <cell r="Y51" t="str">
            <v>KNG3857</v>
          </cell>
          <cell r="Z51" t="str">
            <v/>
          </cell>
          <cell r="AA51" t="str">
            <v>Safeboot</v>
          </cell>
          <cell r="AB51" t="str">
            <v>ThinkPad R60e</v>
          </cell>
          <cell r="AC51" t="str">
            <v>0658-BJ6</v>
          </cell>
          <cell r="AD51" t="str">
            <v>L3-GC261</v>
          </cell>
          <cell r="AE51" t="str">
            <v>リコーImagio MPC3500</v>
          </cell>
          <cell r="AF51" t="str">
            <v>201.255.011.030</v>
          </cell>
          <cell r="AG51" t="str">
            <v>リコーImagio MPC3000</v>
          </cell>
          <cell r="AH51" t="str">
            <v>201.255.011.027</v>
          </cell>
          <cell r="AI51" t="str">
            <v>リコーIpsio SP 6220</v>
          </cell>
          <cell r="AJ51" t="str">
            <v>201.255.011.029</v>
          </cell>
          <cell r="AK51" t="str">
            <v>WindowsXP(SP2)</v>
          </cell>
          <cell r="AL51" t="str">
            <v>KN-01</v>
          </cell>
          <cell r="AM51" t="str">
            <v/>
          </cell>
          <cell r="AN51" t="str">
            <v>201.255.011.001</v>
          </cell>
          <cell r="AO51" t="str">
            <v>興銀リース</v>
          </cell>
          <cell r="AP51" t="str">
            <v>07-410023</v>
          </cell>
          <cell r="AQ51" t="str">
            <v>KNG11120</v>
          </cell>
          <cell r="AR51" t="str">
            <v>CCIT</v>
          </cell>
          <cell r="AS51" t="str">
            <v/>
          </cell>
          <cell r="AT51" t="str">
            <v/>
          </cell>
          <cell r="AU51" t="str">
            <v/>
          </cell>
          <cell r="AV51" t="str">
            <v/>
          </cell>
          <cell r="AW51" t="str">
            <v/>
          </cell>
          <cell r="AX51" t="str">
            <v/>
          </cell>
          <cell r="AY51" t="str">
            <v/>
          </cell>
          <cell r="AZ51" t="str">
            <v>変動費・原料炭費は経理財務部全員が使用、2010/2/3MV-D2/N667-512M納品（保障は6年）</v>
          </cell>
          <cell r="BC51">
            <v>800</v>
          </cell>
          <cell r="BD51" t="str">
            <v/>
          </cell>
          <cell r="BE51" t="str">
            <v>SafeBoot</v>
          </cell>
        </row>
        <row r="52">
          <cell r="F52">
            <v>47</v>
          </cell>
          <cell r="G52" t="str">
            <v>146.143.010.168</v>
          </cell>
          <cell r="H52" t="str">
            <v/>
          </cell>
          <cell r="I52" t="str">
            <v>KN</v>
          </cell>
          <cell r="J52" t="str">
            <v/>
          </cell>
          <cell r="K52" t="str">
            <v>TG07P0062</v>
          </cell>
          <cell r="L52" t="str">
            <v>ﾊﾟﾅｿﾆｯｸﾒｰｶｰ保守</v>
          </cell>
          <cell r="M52">
            <v>39264</v>
          </cell>
          <cell r="N52">
            <v>40724</v>
          </cell>
          <cell r="Q52" t="str">
            <v/>
          </cell>
          <cell r="R52" t="str">
            <v>PC</v>
          </cell>
          <cell r="S52" t="str">
            <v/>
          </cell>
          <cell r="T52" t="str">
            <v>尼崎</v>
          </cell>
          <cell r="U52" t="str">
            <v>本社</v>
          </cell>
          <cell r="V52" t="str">
            <v>関西熱化学</v>
          </cell>
          <cell r="W52" t="str">
            <v>ＣＳＲ推進部</v>
          </cell>
          <cell r="X52" t="str">
            <v>内野　照実</v>
          </cell>
          <cell r="Y52" t="str">
            <v>KNG3878</v>
          </cell>
          <cell r="Z52">
            <v>1</v>
          </cell>
          <cell r="AA52" t="str">
            <v>モバイル</v>
          </cell>
          <cell r="AB52" t="str">
            <v>CF-R6</v>
          </cell>
          <cell r="AC52" t="str">
            <v>CF-R6MW4AXS</v>
          </cell>
          <cell r="AD52" t="str">
            <v>7CKSA09993</v>
          </cell>
          <cell r="AE52" t="str">
            <v>リコーimagio MPC2800</v>
          </cell>
          <cell r="AF52" t="str">
            <v>146.143.010.230</v>
          </cell>
          <cell r="AG52" t="str">
            <v/>
          </cell>
          <cell r="AH52" t="str">
            <v/>
          </cell>
          <cell r="AI52" t="str">
            <v/>
          </cell>
          <cell r="AJ52" t="str">
            <v/>
          </cell>
          <cell r="AK52" t="str">
            <v>WindowsXP(SP2)</v>
          </cell>
          <cell r="AL52" t="str">
            <v>KN-01</v>
          </cell>
          <cell r="AM52" t="str">
            <v/>
          </cell>
          <cell r="AN52" t="str">
            <v>146.143.001.001</v>
          </cell>
          <cell r="AO52" t="str">
            <v>ｾﾝﾁｭﾘｰ・ﾘｰｼﾝｸﾞ・ｼｽﾃﾑ</v>
          </cell>
          <cell r="AP52" t="str">
            <v>L07063574</v>
          </cell>
          <cell r="AQ52" t="str">
            <v>KNP3B168</v>
          </cell>
          <cell r="AR52" t="str">
            <v>CCIT</v>
          </cell>
          <cell r="AS52" t="str">
            <v/>
          </cell>
          <cell r="AT52" t="str">
            <v/>
          </cell>
          <cell r="AU52" t="str">
            <v/>
          </cell>
          <cell r="AV52" t="str">
            <v/>
          </cell>
          <cell r="AW52" t="str">
            <v/>
          </cell>
          <cell r="AX52" t="str">
            <v/>
          </cell>
          <cell r="AY52" t="str">
            <v/>
          </cell>
          <cell r="AZ52" t="str">
            <v/>
          </cell>
          <cell r="BB52">
            <v>4990</v>
          </cell>
          <cell r="BD52" t="str">
            <v/>
          </cell>
          <cell r="BE52" t="str">
            <v>SafeBoot</v>
          </cell>
        </row>
        <row r="53">
          <cell r="F53">
            <v>135</v>
          </cell>
          <cell r="G53" t="str">
            <v>201.255.011.103</v>
          </cell>
          <cell r="H53" t="str">
            <v/>
          </cell>
          <cell r="I53" t="str">
            <v>KN</v>
          </cell>
          <cell r="J53" t="str">
            <v/>
          </cell>
          <cell r="K53" t="str">
            <v>TG07P0048</v>
          </cell>
          <cell r="L53" t="str">
            <v>第３者保守</v>
          </cell>
          <cell r="M53">
            <v>39234</v>
          </cell>
          <cell r="N53">
            <v>40694</v>
          </cell>
          <cell r="Q53" t="str">
            <v/>
          </cell>
          <cell r="R53" t="str">
            <v>PC</v>
          </cell>
          <cell r="S53" t="str">
            <v>無線</v>
          </cell>
          <cell r="T53" t="str">
            <v>尼崎</v>
          </cell>
          <cell r="U53" t="str">
            <v>本社</v>
          </cell>
          <cell r="V53" t="str">
            <v>関西熱化学</v>
          </cell>
          <cell r="W53" t="str">
            <v>ＣＳＲ推進部</v>
          </cell>
          <cell r="X53" t="str">
            <v>内野　照実</v>
          </cell>
          <cell r="Y53" t="str">
            <v>KNG3878</v>
          </cell>
          <cell r="Z53" t="str">
            <v/>
          </cell>
          <cell r="AA53" t="str">
            <v>Safeboot</v>
          </cell>
          <cell r="AB53" t="str">
            <v>ThinkPad R60e</v>
          </cell>
          <cell r="AC53" t="str">
            <v>0658-BJ6</v>
          </cell>
          <cell r="AD53" t="str">
            <v>L3-DD531</v>
          </cell>
          <cell r="AE53" t="str">
            <v>リコーImagio MPC3500</v>
          </cell>
          <cell r="AF53" t="str">
            <v>201.255.011.030</v>
          </cell>
          <cell r="AG53" t="str">
            <v>リコーImagio MPC3000</v>
          </cell>
          <cell r="AH53" t="str">
            <v>201.255.011.027</v>
          </cell>
          <cell r="AI53" t="str">
            <v/>
          </cell>
          <cell r="AJ53" t="str">
            <v/>
          </cell>
          <cell r="AK53" t="str">
            <v>WindowsXP(SP2)</v>
          </cell>
          <cell r="AL53" t="str">
            <v>KN-01</v>
          </cell>
          <cell r="AM53" t="str">
            <v/>
          </cell>
          <cell r="AN53" t="str">
            <v>146.143.001.001</v>
          </cell>
          <cell r="AO53" t="str">
            <v>興銀リース</v>
          </cell>
          <cell r="AP53" t="str">
            <v>07-408413</v>
          </cell>
          <cell r="AQ53" t="str">
            <v>KNG11103</v>
          </cell>
          <cell r="AR53" t="str">
            <v>CCIT</v>
          </cell>
          <cell r="AS53" t="str">
            <v/>
          </cell>
          <cell r="AT53" t="str">
            <v/>
          </cell>
          <cell r="AU53" t="str">
            <v/>
          </cell>
          <cell r="AV53" t="str">
            <v/>
          </cell>
          <cell r="AW53" t="str">
            <v/>
          </cell>
          <cell r="AX53" t="str">
            <v/>
          </cell>
          <cell r="AY53" t="str">
            <v/>
          </cell>
          <cell r="AZ53" t="str">
            <v/>
          </cell>
          <cell r="BC53">
            <v>800</v>
          </cell>
          <cell r="BD53" t="str">
            <v/>
          </cell>
          <cell r="BE53" t="str">
            <v>SafeBoot</v>
          </cell>
        </row>
        <row r="54">
          <cell r="F54">
            <v>131</v>
          </cell>
          <cell r="G54" t="str">
            <v>201.255.011.105</v>
          </cell>
          <cell r="H54" t="str">
            <v/>
          </cell>
          <cell r="I54" t="str">
            <v>KN</v>
          </cell>
          <cell r="J54" t="str">
            <v/>
          </cell>
          <cell r="K54" t="str">
            <v>TG07P0074</v>
          </cell>
          <cell r="L54" t="str">
            <v>第３者保守</v>
          </cell>
          <cell r="M54">
            <v>39295</v>
          </cell>
          <cell r="N54">
            <v>40755</v>
          </cell>
          <cell r="Q54" t="str">
            <v/>
          </cell>
          <cell r="R54" t="str">
            <v>PC</v>
          </cell>
          <cell r="S54" t="str">
            <v>無線</v>
          </cell>
          <cell r="T54" t="str">
            <v>尼崎</v>
          </cell>
          <cell r="U54" t="str">
            <v>本社</v>
          </cell>
          <cell r="V54" t="str">
            <v>関西熱化学</v>
          </cell>
          <cell r="W54" t="str">
            <v>総務人事部</v>
          </cell>
          <cell r="X54" t="str">
            <v>雪永　聡</v>
          </cell>
          <cell r="Y54" t="str">
            <v>KNG3883</v>
          </cell>
          <cell r="Z54" t="str">
            <v/>
          </cell>
          <cell r="AA54" t="str">
            <v>Safeboot</v>
          </cell>
          <cell r="AB54" t="str">
            <v>ThinkPad R60e</v>
          </cell>
          <cell r="AC54" t="str">
            <v>0658-BJ6</v>
          </cell>
          <cell r="AD54" t="str">
            <v>L3-GC302</v>
          </cell>
          <cell r="AE54" t="str">
            <v>リコーImagio MPC3000</v>
          </cell>
          <cell r="AF54" t="str">
            <v>201.255.011.024</v>
          </cell>
          <cell r="AG54" t="str">
            <v>リコーIpsio SP 6220</v>
          </cell>
          <cell r="AH54" t="str">
            <v>201.255.011.029</v>
          </cell>
          <cell r="AI54" t="str">
            <v/>
          </cell>
          <cell r="AJ54" t="str">
            <v/>
          </cell>
          <cell r="AK54" t="str">
            <v>WindowsXP(SP2)</v>
          </cell>
          <cell r="AL54" t="str">
            <v>KN-01</v>
          </cell>
          <cell r="AM54" t="str">
            <v/>
          </cell>
          <cell r="AN54" t="str">
            <v>201.255.011.001</v>
          </cell>
          <cell r="AO54" t="str">
            <v>興銀リース</v>
          </cell>
          <cell r="AP54" t="str">
            <v>07-410023</v>
          </cell>
          <cell r="AQ54" t="str">
            <v>KNG11105</v>
          </cell>
          <cell r="AR54" t="str">
            <v>CCIT</v>
          </cell>
          <cell r="AS54" t="str">
            <v/>
          </cell>
          <cell r="AT54" t="str">
            <v/>
          </cell>
          <cell r="AU54" t="str">
            <v/>
          </cell>
          <cell r="AV54" t="str">
            <v/>
          </cell>
          <cell r="AW54" t="str">
            <v/>
          </cell>
          <cell r="AX54" t="str">
            <v/>
          </cell>
          <cell r="AY54" t="str">
            <v/>
          </cell>
          <cell r="AZ54" t="str">
            <v/>
          </cell>
          <cell r="BC54">
            <v>800</v>
          </cell>
          <cell r="BD54" t="str">
            <v/>
          </cell>
          <cell r="BE54" t="str">
            <v>SafeBoot</v>
          </cell>
        </row>
        <row r="55">
          <cell r="F55">
            <v>106</v>
          </cell>
          <cell r="G55" t="str">
            <v>201.255.041.180</v>
          </cell>
          <cell r="H55" t="str">
            <v/>
          </cell>
          <cell r="I55" t="str">
            <v>RSI</v>
          </cell>
          <cell r="J55" t="str">
            <v/>
          </cell>
          <cell r="K55" t="str">
            <v/>
          </cell>
          <cell r="L55" t="str">
            <v>ﾊﾟﾅｿﾆｯｸﾒｰｶｰ保守</v>
          </cell>
          <cell r="M55">
            <v>39934</v>
          </cell>
          <cell r="N55">
            <v>41394</v>
          </cell>
          <cell r="Q55" t="str">
            <v/>
          </cell>
          <cell r="R55" t="str">
            <v>PC</v>
          </cell>
          <cell r="S55" t="str">
            <v/>
          </cell>
          <cell r="T55" t="str">
            <v>尼崎</v>
          </cell>
          <cell r="U55" t="str">
            <v>北門</v>
          </cell>
          <cell r="V55" t="str">
            <v>尼崎ユーティリティサービス</v>
          </cell>
          <cell r="W55" t="str">
            <v>AUS</v>
          </cell>
          <cell r="X55" t="str">
            <v>吉田　裕彦</v>
          </cell>
          <cell r="Y55" t="str">
            <v>KNG3886</v>
          </cell>
          <cell r="Z55" t="str">
            <v/>
          </cell>
          <cell r="AA55" t="str">
            <v>モバイル</v>
          </cell>
          <cell r="AB55" t="str">
            <v>CF-R7</v>
          </cell>
          <cell r="AC55" t="str">
            <v>CF-R7DW6AAS</v>
          </cell>
          <cell r="AD55" t="str">
            <v>8JKSB43686</v>
          </cell>
          <cell r="AE55" t="str">
            <v>Canon LBP-5700</v>
          </cell>
          <cell r="AF55" t="str">
            <v>201.255.041.033</v>
          </cell>
          <cell r="AG55" t="str">
            <v>リコーImagio MPC2500</v>
          </cell>
          <cell r="AH55" t="str">
            <v>201.255.041.039</v>
          </cell>
          <cell r="AI55" t="str">
            <v/>
          </cell>
          <cell r="AJ55" t="str">
            <v/>
          </cell>
          <cell r="AK55" t="str">
            <v>WindowsXP(SP2)</v>
          </cell>
          <cell r="AL55" t="str">
            <v>AUS</v>
          </cell>
          <cell r="AM55" t="str">
            <v/>
          </cell>
          <cell r="AN55" t="str">
            <v>201.255.041.001</v>
          </cell>
          <cell r="AO55" t="str">
            <v/>
          </cell>
          <cell r="AP55" t="str">
            <v/>
          </cell>
          <cell r="AQ55" t="str">
            <v>KNG41180</v>
          </cell>
          <cell r="AR55" t="str">
            <v>CCIT</v>
          </cell>
          <cell r="AS55" t="str">
            <v/>
          </cell>
          <cell r="AT55" t="str">
            <v/>
          </cell>
          <cell r="AU55" t="str">
            <v/>
          </cell>
          <cell r="AV55" t="str">
            <v/>
          </cell>
          <cell r="AW55" t="str">
            <v/>
          </cell>
          <cell r="AX55" t="str">
            <v/>
          </cell>
          <cell r="AY55" t="str">
            <v/>
          </cell>
          <cell r="AZ55" t="str">
            <v/>
          </cell>
          <cell r="BB55">
            <v>4640</v>
          </cell>
          <cell r="BD55" t="str">
            <v/>
          </cell>
          <cell r="BE55" t="str">
            <v>SafeBoot</v>
          </cell>
        </row>
        <row r="56">
          <cell r="F56">
            <v>145</v>
          </cell>
          <cell r="G56" t="str">
            <v>201.255.011.200</v>
          </cell>
          <cell r="H56" t="str">
            <v/>
          </cell>
          <cell r="I56" t="str">
            <v>KN</v>
          </cell>
          <cell r="J56" t="str">
            <v>有償</v>
          </cell>
          <cell r="K56" t="str">
            <v>TG07P0101</v>
          </cell>
          <cell r="L56" t="str">
            <v>ﾊﾟﾅｿﾆｯｸﾒｰｶｰ保守</v>
          </cell>
          <cell r="M56">
            <v>39417</v>
          </cell>
          <cell r="N56">
            <v>40877</v>
          </cell>
          <cell r="Q56" t="str">
            <v/>
          </cell>
          <cell r="R56" t="str">
            <v>PC</v>
          </cell>
          <cell r="S56" t="str">
            <v/>
          </cell>
          <cell r="T56" t="str">
            <v>加古川</v>
          </cell>
          <cell r="U56" t="str">
            <v>加古川工場</v>
          </cell>
          <cell r="V56" t="str">
            <v>カーボンテック</v>
          </cell>
          <cell r="W56" t="str">
            <v>東事務所</v>
          </cell>
          <cell r="X56" t="str">
            <v>筑紫　幹二</v>
          </cell>
          <cell r="Y56" t="str">
            <v>KNG3947</v>
          </cell>
          <cell r="Z56" t="str">
            <v/>
          </cell>
          <cell r="AA56" t="str">
            <v>モバイル</v>
          </cell>
          <cell r="AB56" t="str">
            <v>CF-R6</v>
          </cell>
          <cell r="AC56" t="str">
            <v>CF-R6AW1AXS</v>
          </cell>
          <cell r="AD56" t="str">
            <v>7JKSA38208</v>
          </cell>
          <cell r="AE56" t="str">
            <v>SHARP MX-4100FN</v>
          </cell>
          <cell r="AF56" t="str">
            <v>146.143.020.224</v>
          </cell>
          <cell r="AG56" t="str">
            <v>リコーImagio MPC3500</v>
          </cell>
          <cell r="AH56" t="str">
            <v>146.143.020.226</v>
          </cell>
          <cell r="AI56" t="str">
            <v>リコーImagio MPC3500</v>
          </cell>
          <cell r="AJ56" t="str">
            <v>201.255.011.030</v>
          </cell>
          <cell r="AK56" t="str">
            <v>WindowsXP(SP2)</v>
          </cell>
          <cell r="AL56" t="str">
            <v>KN-01</v>
          </cell>
          <cell r="AM56" t="str">
            <v/>
          </cell>
          <cell r="AN56" t="str">
            <v>201.255.011.001</v>
          </cell>
          <cell r="AO56" t="str">
            <v>興銀リース</v>
          </cell>
          <cell r="AP56" t="str">
            <v>07-412607</v>
          </cell>
          <cell r="AQ56" t="str">
            <v>KNG11200</v>
          </cell>
          <cell r="AR56" t="str">
            <v>CCIT</v>
          </cell>
          <cell r="AS56" t="str">
            <v/>
          </cell>
          <cell r="AT56" t="str">
            <v/>
          </cell>
          <cell r="AU56" t="str">
            <v/>
          </cell>
          <cell r="AV56" t="str">
            <v/>
          </cell>
          <cell r="AW56" t="str">
            <v/>
          </cell>
          <cell r="AX56" t="str">
            <v/>
          </cell>
          <cell r="AY56" t="str">
            <v/>
          </cell>
          <cell r="AZ56" t="str">
            <v/>
          </cell>
          <cell r="BB56">
            <v>4439</v>
          </cell>
          <cell r="BD56" t="str">
            <v/>
          </cell>
          <cell r="BE56" t="str">
            <v>SafeBoot</v>
          </cell>
        </row>
        <row r="57">
          <cell r="F57">
            <v>28</v>
          </cell>
          <cell r="G57" t="str">
            <v>201.255.011.063</v>
          </cell>
          <cell r="H57" t="str">
            <v/>
          </cell>
          <cell r="I57" t="str">
            <v>KN</v>
          </cell>
          <cell r="J57" t="str">
            <v/>
          </cell>
          <cell r="K57" t="str">
            <v>TG07P0074</v>
          </cell>
          <cell r="L57" t="str">
            <v>第３者保守</v>
          </cell>
          <cell r="M57">
            <v>39295</v>
          </cell>
          <cell r="N57">
            <v>40755</v>
          </cell>
          <cell r="Q57" t="str">
            <v/>
          </cell>
          <cell r="R57" t="str">
            <v>PC</v>
          </cell>
          <cell r="S57" t="str">
            <v>無線</v>
          </cell>
          <cell r="T57" t="str">
            <v>尼崎</v>
          </cell>
          <cell r="U57" t="str">
            <v>本社</v>
          </cell>
          <cell r="V57" t="str">
            <v>関西熱化学</v>
          </cell>
          <cell r="W57" t="str">
            <v>総務人事部</v>
          </cell>
          <cell r="X57" t="str">
            <v>矢野　幸恵</v>
          </cell>
          <cell r="Y57" t="str">
            <v>KNG3954</v>
          </cell>
          <cell r="Z57" t="str">
            <v/>
          </cell>
          <cell r="AA57" t="str">
            <v>Safeboot</v>
          </cell>
          <cell r="AB57" t="str">
            <v>ThinkPad R60e</v>
          </cell>
          <cell r="AC57" t="str">
            <v>0658-BJ6</v>
          </cell>
          <cell r="AD57" t="str">
            <v>L3-GC314</v>
          </cell>
          <cell r="AE57" t="str">
            <v>リコーImagio MPC3500</v>
          </cell>
          <cell r="AF57" t="str">
            <v>201.255.011.030</v>
          </cell>
          <cell r="AG57" t="str">
            <v>リコーImagio MPC3000</v>
          </cell>
          <cell r="AH57" t="str">
            <v>201.255.011.027</v>
          </cell>
          <cell r="AI57" t="str">
            <v/>
          </cell>
          <cell r="AJ57" t="str">
            <v/>
          </cell>
          <cell r="AK57" t="str">
            <v>WindowsXP(SP2)</v>
          </cell>
          <cell r="AL57" t="str">
            <v>KN-01</v>
          </cell>
          <cell r="AM57" t="str">
            <v/>
          </cell>
          <cell r="AN57" t="str">
            <v>201.255.011.001</v>
          </cell>
          <cell r="AO57" t="str">
            <v>興銀リース</v>
          </cell>
          <cell r="AP57" t="str">
            <v>07-410023</v>
          </cell>
          <cell r="AQ57" t="str">
            <v>KNG11063</v>
          </cell>
          <cell r="AR57" t="str">
            <v>CCIT</v>
          </cell>
          <cell r="AS57" t="str">
            <v/>
          </cell>
          <cell r="AT57" t="str">
            <v/>
          </cell>
          <cell r="AU57" t="str">
            <v/>
          </cell>
          <cell r="AV57" t="str">
            <v/>
          </cell>
          <cell r="AW57" t="str">
            <v/>
          </cell>
          <cell r="AX57" t="str">
            <v/>
          </cell>
          <cell r="AY57" t="str">
            <v/>
          </cell>
          <cell r="AZ57" t="str">
            <v>バッテリ不良の為予備機のバッテリとと交換20090803</v>
          </cell>
          <cell r="BC57">
            <v>800</v>
          </cell>
          <cell r="BD57" t="str">
            <v/>
          </cell>
          <cell r="BE57" t="str">
            <v>SafeBoot</v>
          </cell>
        </row>
        <row r="58">
          <cell r="F58">
            <v>36</v>
          </cell>
          <cell r="G58" t="str">
            <v>201.255.011.076</v>
          </cell>
          <cell r="H58" t="str">
            <v/>
          </cell>
          <cell r="I58" t="str">
            <v>KN</v>
          </cell>
          <cell r="J58" t="str">
            <v/>
          </cell>
          <cell r="K58" t="str">
            <v>TG07P0071</v>
          </cell>
          <cell r="L58" t="str">
            <v>ﾊﾟﾅｿﾆｯｸﾒｰｶｰ保守</v>
          </cell>
          <cell r="M58">
            <v>39295</v>
          </cell>
          <cell r="N58">
            <v>40755</v>
          </cell>
          <cell r="Q58" t="str">
            <v/>
          </cell>
          <cell r="R58" t="str">
            <v>PC</v>
          </cell>
          <cell r="S58" t="str">
            <v>無線</v>
          </cell>
          <cell r="T58" t="str">
            <v>尼崎</v>
          </cell>
          <cell r="U58" t="str">
            <v>本社</v>
          </cell>
          <cell r="V58" t="str">
            <v>関西熱化学</v>
          </cell>
          <cell r="W58" t="str">
            <v>総務人事部</v>
          </cell>
          <cell r="X58" t="str">
            <v>詠田　隆夫</v>
          </cell>
          <cell r="Y58" t="str">
            <v>KNG3960</v>
          </cell>
          <cell r="Z58" t="str">
            <v/>
          </cell>
          <cell r="AA58" t="str">
            <v>モバイル</v>
          </cell>
          <cell r="AB58" t="str">
            <v>CF-R6</v>
          </cell>
          <cell r="AC58" t="str">
            <v>CF-R6MW4AXS</v>
          </cell>
          <cell r="AD58" t="str">
            <v>7EKSA18348</v>
          </cell>
          <cell r="AE58" t="str">
            <v>リコーimagio MPC3500</v>
          </cell>
          <cell r="AF58" t="str">
            <v>201.255.011.030</v>
          </cell>
          <cell r="AG58" t="str">
            <v>リコーimagio MPC3000</v>
          </cell>
          <cell r="AH58" t="str">
            <v>201.255.011.027</v>
          </cell>
          <cell r="AI58" t="str">
            <v>リコーimagio MPC3000</v>
          </cell>
          <cell r="AJ58" t="str">
            <v>201.255.011.024</v>
          </cell>
          <cell r="AK58" t="str">
            <v>WindowsXP(SP2)</v>
          </cell>
          <cell r="AL58" t="str">
            <v>KN-01</v>
          </cell>
          <cell r="AM58" t="str">
            <v/>
          </cell>
          <cell r="AN58" t="str">
            <v>201.255.011.001</v>
          </cell>
          <cell r="AO58" t="str">
            <v>ｾﾝﾁｭﾘｰ・ﾘｰｼﾝｸﾞ・ｼｽﾃﾑ</v>
          </cell>
          <cell r="AP58" t="str">
            <v>L07078934</v>
          </cell>
          <cell r="AQ58" t="str">
            <v>KNG11076</v>
          </cell>
          <cell r="AR58" t="str">
            <v>CCIT</v>
          </cell>
          <cell r="AS58" t="str">
            <v/>
          </cell>
          <cell r="AT58" t="str">
            <v/>
          </cell>
          <cell r="AU58" t="str">
            <v/>
          </cell>
          <cell r="AV58" t="str">
            <v/>
          </cell>
          <cell r="AW58" t="str">
            <v/>
          </cell>
          <cell r="AX58" t="str">
            <v/>
          </cell>
          <cell r="AY58" t="str">
            <v/>
          </cell>
          <cell r="AZ58" t="str">
            <v>EPSON PM-G4500ローカル接続</v>
          </cell>
          <cell r="BB58">
            <v>5017</v>
          </cell>
          <cell r="BD58" t="str">
            <v/>
          </cell>
          <cell r="BE58" t="str">
            <v>SafeBoot</v>
          </cell>
        </row>
        <row r="59">
          <cell r="F59">
            <v>20</v>
          </cell>
          <cell r="G59" t="str">
            <v>201.255.011.085</v>
          </cell>
          <cell r="H59" t="str">
            <v/>
          </cell>
          <cell r="I59" t="str">
            <v>RSI</v>
          </cell>
          <cell r="J59" t="str">
            <v/>
          </cell>
          <cell r="K59" t="str">
            <v/>
          </cell>
          <cell r="L59" t="str">
            <v>ﾊﾟﾅｿﾆｯｸﾒｰｶｰ保守</v>
          </cell>
          <cell r="M59">
            <v>39600</v>
          </cell>
          <cell r="N59">
            <v>41060</v>
          </cell>
          <cell r="Q59" t="str">
            <v/>
          </cell>
          <cell r="R59" t="str">
            <v>PC</v>
          </cell>
          <cell r="S59" t="str">
            <v>無線</v>
          </cell>
          <cell r="T59" t="str">
            <v>尼崎</v>
          </cell>
          <cell r="U59" t="str">
            <v>本社</v>
          </cell>
          <cell r="V59" t="str">
            <v>関西熱化学</v>
          </cell>
          <cell r="W59" t="str">
            <v>ＣＳＲ推進部</v>
          </cell>
          <cell r="X59" t="str">
            <v>鈴木　利昭</v>
          </cell>
          <cell r="Y59" t="str">
            <v>KNG4005</v>
          </cell>
          <cell r="Z59" t="str">
            <v/>
          </cell>
          <cell r="AA59" t="str">
            <v>モバイル</v>
          </cell>
          <cell r="AB59" t="str">
            <v>CF-R7</v>
          </cell>
          <cell r="AC59" t="str">
            <v>CF-R7CW5AXS</v>
          </cell>
          <cell r="AD59" t="str">
            <v>8DKSA25663</v>
          </cell>
          <cell r="AE59" t="str">
            <v>リコーImagio MPC3500</v>
          </cell>
          <cell r="AF59" t="str">
            <v>201.255.011.030</v>
          </cell>
          <cell r="AG59" t="str">
            <v>リコーImagio MPC3000</v>
          </cell>
          <cell r="AH59" t="str">
            <v>201.255.011.027</v>
          </cell>
          <cell r="AI59" t="str">
            <v/>
          </cell>
          <cell r="AJ59" t="str">
            <v/>
          </cell>
          <cell r="AK59" t="str">
            <v>WindowsXP(SP2)</v>
          </cell>
          <cell r="AL59" t="str">
            <v>KN-01</v>
          </cell>
          <cell r="AM59" t="str">
            <v/>
          </cell>
          <cell r="AN59" t="str">
            <v>201.255.011.001</v>
          </cell>
          <cell r="AO59" t="str">
            <v/>
          </cell>
          <cell r="AP59" t="str">
            <v/>
          </cell>
          <cell r="AQ59" t="str">
            <v>KNG11085</v>
          </cell>
          <cell r="AR59" t="str">
            <v>CCIT</v>
          </cell>
          <cell r="AS59" t="str">
            <v/>
          </cell>
          <cell r="AT59" t="str">
            <v/>
          </cell>
          <cell r="AU59" t="str">
            <v/>
          </cell>
          <cell r="AV59" t="str">
            <v/>
          </cell>
          <cell r="AW59" t="str">
            <v/>
          </cell>
          <cell r="AX59" t="str">
            <v/>
          </cell>
          <cell r="AY59" t="str">
            <v/>
          </cell>
          <cell r="AZ59" t="str">
            <v>外付けCDドライブ（焼く用）、IO-DATA USB-RGB（大西工場長使用分試用）</v>
          </cell>
          <cell r="BB59">
            <v>4680</v>
          </cell>
          <cell r="BD59" t="str">
            <v/>
          </cell>
          <cell r="BE59" t="str">
            <v>SafeBoot</v>
          </cell>
        </row>
        <row r="60">
          <cell r="F60">
            <v>43</v>
          </cell>
          <cell r="G60" t="str">
            <v>146.143.010.109</v>
          </cell>
          <cell r="H60" t="str">
            <v/>
          </cell>
          <cell r="I60" t="str">
            <v>KN</v>
          </cell>
          <cell r="J60" t="str">
            <v/>
          </cell>
          <cell r="K60" t="str">
            <v>TG07P0083</v>
          </cell>
          <cell r="L60" t="str">
            <v>第３者保守</v>
          </cell>
          <cell r="M60">
            <v>39356</v>
          </cell>
          <cell r="N60">
            <v>40816</v>
          </cell>
          <cell r="Q60" t="str">
            <v/>
          </cell>
          <cell r="R60" t="str">
            <v>PC</v>
          </cell>
          <cell r="S60" t="str">
            <v/>
          </cell>
          <cell r="T60" t="str">
            <v>加古川</v>
          </cell>
          <cell r="U60" t="str">
            <v>加古川工場</v>
          </cell>
          <cell r="V60" t="str">
            <v>関西熱化学</v>
          </cell>
          <cell r="W60" t="str">
            <v>企画管理部　システムグループ</v>
          </cell>
          <cell r="X60" t="str">
            <v>華江　豊</v>
          </cell>
          <cell r="Y60" t="str">
            <v>KNG4041</v>
          </cell>
          <cell r="Z60">
            <v>1</v>
          </cell>
          <cell r="AA60" t="str">
            <v>モバイル</v>
          </cell>
          <cell r="AB60" t="str">
            <v>ThinkPad X60s</v>
          </cell>
          <cell r="AC60" t="str">
            <v>1720-EJ2</v>
          </cell>
          <cell r="AD60" t="str">
            <v>LV-M1351</v>
          </cell>
          <cell r="AE60" t="str">
            <v>リコーImagio MPC4000</v>
          </cell>
          <cell r="AF60" t="str">
            <v>146.143.010.227</v>
          </cell>
          <cell r="AG60" t="str">
            <v>リコーImagio MPC2800</v>
          </cell>
          <cell r="AH60" t="str">
            <v>146.143.010.233</v>
          </cell>
          <cell r="AI60" t="str">
            <v/>
          </cell>
          <cell r="AJ60" t="str">
            <v/>
          </cell>
          <cell r="AK60" t="str">
            <v>WindowsXP(SP2)</v>
          </cell>
          <cell r="AL60" t="str">
            <v>KN-03</v>
          </cell>
          <cell r="AM60" t="str">
            <v>0016D3BB7130</v>
          </cell>
          <cell r="AN60" t="str">
            <v>146.143.001.001</v>
          </cell>
          <cell r="AO60" t="str">
            <v>興銀リース</v>
          </cell>
          <cell r="AP60" t="str">
            <v>07-411372</v>
          </cell>
          <cell r="AQ60" t="str">
            <v>KNP3B109</v>
          </cell>
          <cell r="AR60" t="str">
            <v>CCIT</v>
          </cell>
          <cell r="AS60" t="str">
            <v/>
          </cell>
          <cell r="AT60" t="str">
            <v/>
          </cell>
          <cell r="AU60" t="str">
            <v/>
          </cell>
          <cell r="AV60" t="str">
            <v/>
          </cell>
          <cell r="AW60" t="str">
            <v/>
          </cell>
          <cell r="AX60" t="str">
            <v/>
          </cell>
          <cell r="AY60" t="str">
            <v/>
          </cell>
          <cell r="AZ60" t="str">
            <v/>
          </cell>
          <cell r="BC60">
            <v>800</v>
          </cell>
          <cell r="BD60" t="str">
            <v/>
          </cell>
          <cell r="BE60" t="str">
            <v>SafeBoot</v>
          </cell>
        </row>
        <row r="61">
          <cell r="F61">
            <v>42</v>
          </cell>
          <cell r="G61" t="str">
            <v>146.143.010.122</v>
          </cell>
          <cell r="H61" t="str">
            <v/>
          </cell>
          <cell r="I61" t="str">
            <v>RSI</v>
          </cell>
          <cell r="J61" t="str">
            <v/>
          </cell>
          <cell r="K61" t="str">
            <v/>
          </cell>
          <cell r="L61" t="str">
            <v>ＨＰCarePack</v>
          </cell>
          <cell r="M61">
            <v>40148</v>
          </cell>
          <cell r="N61">
            <v>41608</v>
          </cell>
          <cell r="Q61" t="str">
            <v/>
          </cell>
          <cell r="R61" t="str">
            <v>PC</v>
          </cell>
          <cell r="S61" t="str">
            <v/>
          </cell>
          <cell r="T61" t="str">
            <v>加古川</v>
          </cell>
          <cell r="U61" t="str">
            <v>加古川工場</v>
          </cell>
          <cell r="V61" t="str">
            <v>関西熱化学</v>
          </cell>
          <cell r="W61" t="str">
            <v>企画管理部　システムグループ</v>
          </cell>
          <cell r="X61" t="str">
            <v>華江　豊</v>
          </cell>
          <cell r="Y61" t="str">
            <v>KNG4041</v>
          </cell>
          <cell r="Z61" t="str">
            <v/>
          </cell>
          <cell r="AA61" t="str">
            <v>Safeboot</v>
          </cell>
          <cell r="AB61" t="str">
            <v>HP Compaq 6730b</v>
          </cell>
          <cell r="AC61" t="str">
            <v>VT128PA#ABJ</v>
          </cell>
          <cell r="AD61" t="str">
            <v>CNU9336JG7</v>
          </cell>
          <cell r="AE61" t="str">
            <v>リコーImagio MPC4000</v>
          </cell>
          <cell r="AF61" t="str">
            <v>146.143.010.227</v>
          </cell>
          <cell r="AG61" t="str">
            <v>リコーImagio MPC2800</v>
          </cell>
          <cell r="AH61" t="str">
            <v>146.143.010.233</v>
          </cell>
          <cell r="AI61" t="str">
            <v/>
          </cell>
          <cell r="AJ61" t="str">
            <v/>
          </cell>
          <cell r="AK61" t="str">
            <v>WindowsXP(SP3)</v>
          </cell>
          <cell r="AL61" t="str">
            <v>KN-03</v>
          </cell>
          <cell r="AM61" t="str">
            <v/>
          </cell>
          <cell r="AN61" t="str">
            <v>146.143.001.001</v>
          </cell>
          <cell r="AO61" t="str">
            <v/>
          </cell>
          <cell r="AP61" t="str">
            <v/>
          </cell>
          <cell r="AQ61" t="str">
            <v>KNP3B122</v>
          </cell>
          <cell r="AR61" t="str">
            <v>CCIT</v>
          </cell>
          <cell r="AS61" t="str">
            <v/>
          </cell>
          <cell r="AT61" t="str">
            <v/>
          </cell>
          <cell r="AU61" t="str">
            <v/>
          </cell>
          <cell r="AV61" t="str">
            <v/>
          </cell>
          <cell r="AW61" t="str">
            <v/>
          </cell>
          <cell r="AX61" t="str">
            <v/>
          </cell>
          <cell r="AY61" t="str">
            <v/>
          </cell>
          <cell r="AZ61" t="str">
            <v/>
          </cell>
          <cell r="BB61">
            <v>2630</v>
          </cell>
          <cell r="BD61" t="str">
            <v>JED8117995</v>
          </cell>
          <cell r="BE61" t="str">
            <v>SafeBoot</v>
          </cell>
        </row>
        <row r="62">
          <cell r="F62">
            <v>92</v>
          </cell>
          <cell r="G62" t="str">
            <v>201.255.041.202</v>
          </cell>
          <cell r="H62" t="str">
            <v/>
          </cell>
          <cell r="I62" t="str">
            <v>KNL</v>
          </cell>
          <cell r="J62" t="str">
            <v/>
          </cell>
          <cell r="K62" t="str">
            <v>TG07P0082</v>
          </cell>
          <cell r="L62" t="str">
            <v>ﾊﾟﾅｿﾆｯｸﾒｰｶｰ保守</v>
          </cell>
          <cell r="M62">
            <v>39326</v>
          </cell>
          <cell r="N62">
            <v>40786</v>
          </cell>
          <cell r="Q62" t="str">
            <v/>
          </cell>
          <cell r="R62" t="str">
            <v>PC</v>
          </cell>
          <cell r="S62" t="str">
            <v/>
          </cell>
          <cell r="T62" t="str">
            <v>尼崎</v>
          </cell>
          <cell r="U62" t="str">
            <v>北門</v>
          </cell>
          <cell r="V62" t="str">
            <v>ＫＮラボアナリシス</v>
          </cell>
          <cell r="W62" t="str">
            <v>精密洗浄事業部</v>
          </cell>
          <cell r="X62" t="str">
            <v>田中　直人</v>
          </cell>
          <cell r="Y62" t="str">
            <v>KNG4056</v>
          </cell>
          <cell r="Z62" t="str">
            <v/>
          </cell>
          <cell r="AA62" t="str">
            <v>モバイル</v>
          </cell>
          <cell r="AB62" t="str">
            <v>CF-R6</v>
          </cell>
          <cell r="AC62" t="str">
            <v>CF-R6MW4AXS</v>
          </cell>
          <cell r="AD62" t="str">
            <v>7EKSA18257</v>
          </cell>
          <cell r="AE62" t="str">
            <v>リコーImagio MPC5000</v>
          </cell>
          <cell r="AF62" t="str">
            <v>201.255.041.040</v>
          </cell>
          <cell r="AG62" t="str">
            <v>リコーImagio MPC2800</v>
          </cell>
          <cell r="AH62" t="str">
            <v>201.255.041.162</v>
          </cell>
          <cell r="AI62" t="str">
            <v/>
          </cell>
          <cell r="AJ62" t="str">
            <v/>
          </cell>
          <cell r="AK62" t="str">
            <v>WindowsXP(SP2)</v>
          </cell>
          <cell r="AL62" t="str">
            <v>KNL-精密</v>
          </cell>
          <cell r="AM62" t="str">
            <v/>
          </cell>
          <cell r="AN62" t="str">
            <v>201.255.041.001</v>
          </cell>
          <cell r="AO62" t="str">
            <v>ｾﾝﾁｭﾘｰ・ﾘｰｼﾝｸﾞ・ｼｽﾃﾑ</v>
          </cell>
          <cell r="AP62" t="str">
            <v>L07082658</v>
          </cell>
          <cell r="AQ62" t="str">
            <v>KNG41202</v>
          </cell>
          <cell r="AR62" t="str">
            <v>CCIT</v>
          </cell>
          <cell r="AS62" t="str">
            <v/>
          </cell>
          <cell r="AT62" t="str">
            <v/>
          </cell>
          <cell r="AU62" t="str">
            <v/>
          </cell>
          <cell r="AV62" t="str">
            <v/>
          </cell>
          <cell r="AW62" t="str">
            <v/>
          </cell>
          <cell r="AX62" t="str">
            <v/>
          </cell>
          <cell r="AY62" t="str">
            <v/>
          </cell>
          <cell r="AZ62" t="str">
            <v/>
          </cell>
          <cell r="BD62" t="str">
            <v/>
          </cell>
          <cell r="BE62" t="str">
            <v>SafeBoot</v>
          </cell>
        </row>
        <row r="63">
          <cell r="F63">
            <v>53</v>
          </cell>
          <cell r="G63" t="str">
            <v>146.143.010.042</v>
          </cell>
          <cell r="H63" t="str">
            <v/>
          </cell>
          <cell r="I63" t="str">
            <v>RSI</v>
          </cell>
          <cell r="J63" t="str">
            <v/>
          </cell>
          <cell r="K63" t="str">
            <v/>
          </cell>
          <cell r="L63" t="str">
            <v>ＨＰCarePack</v>
          </cell>
          <cell r="M63">
            <v>40148</v>
          </cell>
          <cell r="N63">
            <v>41608</v>
          </cell>
          <cell r="Q63" t="str">
            <v/>
          </cell>
          <cell r="R63" t="str">
            <v>PC</v>
          </cell>
          <cell r="S63" t="str">
            <v/>
          </cell>
          <cell r="T63" t="str">
            <v>加古川</v>
          </cell>
          <cell r="U63" t="str">
            <v>加古川工場</v>
          </cell>
          <cell r="V63" t="str">
            <v>関西熱化学</v>
          </cell>
          <cell r="W63" t="str">
            <v>生産センター　生産管理Gr</v>
          </cell>
          <cell r="X63" t="str">
            <v>松田　佐輝子</v>
          </cell>
          <cell r="Y63" t="str">
            <v>KNG4081</v>
          </cell>
          <cell r="Z63" t="str">
            <v/>
          </cell>
          <cell r="AA63" t="str">
            <v>モバイル</v>
          </cell>
          <cell r="AB63" t="str">
            <v>HP Compaq 6730b</v>
          </cell>
          <cell r="AC63" t="str">
            <v>VT128PA#ABJ</v>
          </cell>
          <cell r="AD63" t="str">
            <v>CNU9336G9W</v>
          </cell>
          <cell r="AE63" t="str">
            <v>リコーImagio MPC2800</v>
          </cell>
          <cell r="AF63" t="str">
            <v>146.143.010.233</v>
          </cell>
          <cell r="AG63" t="str">
            <v>リコーIpsio SP C820</v>
          </cell>
          <cell r="AH63" t="str">
            <v>146.143.010.221</v>
          </cell>
          <cell r="AI63" t="str">
            <v>リコーImagio MPC4000</v>
          </cell>
          <cell r="AJ63" t="str">
            <v>146.143.010.227</v>
          </cell>
          <cell r="AK63" t="str">
            <v>WindowsXP(SP3)</v>
          </cell>
          <cell r="AL63" t="str">
            <v>KN-03</v>
          </cell>
          <cell r="AM63" t="str">
            <v/>
          </cell>
          <cell r="AN63" t="str">
            <v>146.143.001.001</v>
          </cell>
          <cell r="AO63" t="str">
            <v/>
          </cell>
          <cell r="AP63" t="str">
            <v/>
          </cell>
          <cell r="AQ63" t="str">
            <v>KNP3B042</v>
          </cell>
          <cell r="AR63" t="str">
            <v>CCIT</v>
          </cell>
          <cell r="AS63" t="str">
            <v/>
          </cell>
          <cell r="AT63" t="str">
            <v/>
          </cell>
          <cell r="AU63" t="str">
            <v/>
          </cell>
          <cell r="AV63" t="str">
            <v/>
          </cell>
          <cell r="AW63" t="str">
            <v/>
          </cell>
          <cell r="AX63" t="str">
            <v/>
          </cell>
          <cell r="AY63" t="str">
            <v/>
          </cell>
          <cell r="AZ63" t="str">
            <v>Serverﾒﾆｭｰｼｮｰﾄｶｯﾄｱｲｺﾝ作成、修正ﾌｧｲﾙCTCM00.exeのｺﾋﾟｰ、転送ﾌｧｲﾙｲﾝｽﾄｰﾙ及びｼｮｰﾄｶｯﾄｱｲｺﾝ作成、KNGORAX33.iniの保存、tensou.ttlの保存</v>
          </cell>
          <cell r="BB63">
            <v>2630</v>
          </cell>
          <cell r="BD63" t="str">
            <v>JED8117994</v>
          </cell>
          <cell r="BE63" t="str">
            <v>SafeBoot</v>
          </cell>
        </row>
        <row r="64">
          <cell r="F64">
            <v>125</v>
          </cell>
          <cell r="G64" t="str">
            <v>201.255.011.141</v>
          </cell>
          <cell r="H64" t="str">
            <v/>
          </cell>
          <cell r="I64" t="str">
            <v>RSI</v>
          </cell>
          <cell r="J64" t="str">
            <v/>
          </cell>
          <cell r="K64" t="str">
            <v/>
          </cell>
          <cell r="L64" t="str">
            <v>第３者保守</v>
          </cell>
          <cell r="M64">
            <v>39569</v>
          </cell>
          <cell r="N64">
            <v>41029</v>
          </cell>
          <cell r="Q64" t="str">
            <v/>
          </cell>
          <cell r="R64" t="str">
            <v>PC</v>
          </cell>
          <cell r="S64" t="str">
            <v>無線</v>
          </cell>
          <cell r="T64" t="str">
            <v>尼崎</v>
          </cell>
          <cell r="U64" t="str">
            <v>本社</v>
          </cell>
          <cell r="V64" t="str">
            <v>ＫＮエンタープライズ</v>
          </cell>
          <cell r="W64" t="str">
            <v>ソフトウェア事業部</v>
          </cell>
          <cell r="X64" t="str">
            <v>河本　郁三</v>
          </cell>
          <cell r="Y64" t="str">
            <v>KNG4098</v>
          </cell>
          <cell r="Z64" t="str">
            <v/>
          </cell>
          <cell r="AA64" t="str">
            <v>Safeboot</v>
          </cell>
          <cell r="AB64" t="str">
            <v>ThinkPad R61e</v>
          </cell>
          <cell r="AC64" t="str">
            <v>7649-3YJ</v>
          </cell>
          <cell r="AD64" t="str">
            <v>L3-G2818</v>
          </cell>
          <cell r="AE64" t="str">
            <v>EPSON LP-8900N3</v>
          </cell>
          <cell r="AF64" t="str">
            <v>201.255.011.025</v>
          </cell>
          <cell r="AG64" t="str">
            <v/>
          </cell>
          <cell r="AH64" t="str">
            <v/>
          </cell>
          <cell r="AI64" t="str">
            <v/>
          </cell>
          <cell r="AJ64" t="str">
            <v/>
          </cell>
          <cell r="AK64" t="str">
            <v>WindowsXP(SP2)</v>
          </cell>
          <cell r="AL64" t="str">
            <v>KNE-ｿﾌﾄｳｪｱ</v>
          </cell>
          <cell r="AM64" t="str">
            <v/>
          </cell>
          <cell r="AN64" t="str">
            <v>201.255.011.001</v>
          </cell>
          <cell r="AO64" t="str">
            <v/>
          </cell>
          <cell r="AP64" t="str">
            <v/>
          </cell>
          <cell r="AQ64" t="str">
            <v>KNG11141</v>
          </cell>
          <cell r="AR64" t="str">
            <v>CCIT</v>
          </cell>
          <cell r="AS64" t="str">
            <v/>
          </cell>
          <cell r="AT64" t="str">
            <v/>
          </cell>
          <cell r="AU64" t="str">
            <v/>
          </cell>
          <cell r="AV64" t="str">
            <v/>
          </cell>
          <cell r="AW64" t="str">
            <v/>
          </cell>
          <cell r="AX64" t="str">
            <v/>
          </cell>
          <cell r="AY64" t="str">
            <v/>
          </cell>
          <cell r="AZ64" t="str">
            <v>BO(KNﾗｲｾﾝｽ使用)、(2004/11貸出)</v>
          </cell>
          <cell r="BB64">
            <v>3040</v>
          </cell>
          <cell r="BC64">
            <v>800</v>
          </cell>
          <cell r="BD64" t="str">
            <v/>
          </cell>
          <cell r="BE64" t="str">
            <v>SafeBoot</v>
          </cell>
        </row>
        <row r="65">
          <cell r="F65">
            <v>85</v>
          </cell>
          <cell r="G65" t="str">
            <v>201.255.061.156</v>
          </cell>
          <cell r="H65" t="str">
            <v/>
          </cell>
          <cell r="I65" t="str">
            <v>KN</v>
          </cell>
          <cell r="J65" t="str">
            <v/>
          </cell>
          <cell r="K65" t="str">
            <v>TG07P0101</v>
          </cell>
          <cell r="L65" t="str">
            <v>ﾊﾟﾅｿﾆｯｸﾒｰｶｰ保守</v>
          </cell>
          <cell r="M65">
            <v>39417</v>
          </cell>
          <cell r="N65">
            <v>40877</v>
          </cell>
          <cell r="Q65" t="str">
            <v/>
          </cell>
          <cell r="R65" t="str">
            <v>PC</v>
          </cell>
          <cell r="S65" t="str">
            <v/>
          </cell>
          <cell r="T65" t="str">
            <v>尼崎</v>
          </cell>
          <cell r="U65" t="str">
            <v>研究開発センター</v>
          </cell>
          <cell r="V65" t="str">
            <v>関西熱化学</v>
          </cell>
          <cell r="W65" t="str">
            <v>新館２Ｆ事務所</v>
          </cell>
          <cell r="X65" t="str">
            <v>安丸　純一</v>
          </cell>
          <cell r="Y65" t="str">
            <v>KNG4100</v>
          </cell>
          <cell r="Z65" t="str">
            <v/>
          </cell>
          <cell r="AA65" t="str">
            <v>モバイル</v>
          </cell>
          <cell r="AB65" t="str">
            <v>CF-R6</v>
          </cell>
          <cell r="AC65" t="str">
            <v>CF-R6AW1AXS</v>
          </cell>
          <cell r="AD65" t="str">
            <v>7JKSA38232</v>
          </cell>
          <cell r="AE65" t="str">
            <v>リコーIpsio SP C820</v>
          </cell>
          <cell r="AF65" t="str">
            <v>201.255.061.027</v>
          </cell>
          <cell r="AG65" t="str">
            <v>リコーImagio MPC3000</v>
          </cell>
          <cell r="AH65" t="str">
            <v>201.255.061.033</v>
          </cell>
          <cell r="AI65" t="str">
            <v/>
          </cell>
          <cell r="AJ65" t="str">
            <v/>
          </cell>
          <cell r="AK65" t="str">
            <v>WindowsXP(SP2)</v>
          </cell>
          <cell r="AL65" t="str">
            <v>KN-02</v>
          </cell>
          <cell r="AM65" t="str">
            <v/>
          </cell>
          <cell r="AN65" t="str">
            <v>201.255.061.001</v>
          </cell>
          <cell r="AO65" t="str">
            <v>興銀リース</v>
          </cell>
          <cell r="AP65" t="str">
            <v>07-412607</v>
          </cell>
          <cell r="AQ65" t="str">
            <v>KNG61156</v>
          </cell>
          <cell r="AR65" t="str">
            <v>CCIT</v>
          </cell>
          <cell r="AS65" t="str">
            <v/>
          </cell>
          <cell r="AT65" t="str">
            <v/>
          </cell>
          <cell r="AU65" t="str">
            <v/>
          </cell>
          <cell r="AV65" t="str">
            <v/>
          </cell>
          <cell r="AW65" t="str">
            <v/>
          </cell>
          <cell r="AX65" t="str">
            <v/>
          </cell>
          <cell r="AY65" t="str">
            <v/>
          </cell>
          <cell r="AZ65" t="str">
            <v/>
          </cell>
          <cell r="BB65">
            <v>4439</v>
          </cell>
          <cell r="BD65" t="str">
            <v/>
          </cell>
          <cell r="BE65" t="str">
            <v>SafeBoot</v>
          </cell>
        </row>
        <row r="66">
          <cell r="F66">
            <v>26</v>
          </cell>
          <cell r="G66" t="str">
            <v>201.255.011.089</v>
          </cell>
          <cell r="H66" t="str">
            <v/>
          </cell>
          <cell r="I66" t="str">
            <v>KN</v>
          </cell>
          <cell r="J66" t="str">
            <v>有償</v>
          </cell>
          <cell r="K66" t="str">
            <v>TG07P0028</v>
          </cell>
          <cell r="L66" t="str">
            <v>第３者保守</v>
          </cell>
          <cell r="M66">
            <v>39173</v>
          </cell>
          <cell r="N66">
            <v>40633</v>
          </cell>
          <cell r="Q66" t="str">
            <v/>
          </cell>
          <cell r="R66" t="str">
            <v>PC</v>
          </cell>
          <cell r="S66" t="str">
            <v>無線</v>
          </cell>
          <cell r="T66" t="str">
            <v>尼崎</v>
          </cell>
          <cell r="U66" t="str">
            <v>本社</v>
          </cell>
          <cell r="V66" t="str">
            <v>カーボンテック</v>
          </cell>
          <cell r="W66" t="str">
            <v>ｶｰﾎﾞﾝﾃｯｸ機能材事業部</v>
          </cell>
          <cell r="X66" t="str">
            <v>村田　　敦史</v>
          </cell>
          <cell r="Y66" t="str">
            <v>KNG4101</v>
          </cell>
          <cell r="Z66">
            <v>1</v>
          </cell>
          <cell r="AA66" t="str">
            <v>Safeboot</v>
          </cell>
          <cell r="AB66" t="str">
            <v>ThinkPad R60e</v>
          </cell>
          <cell r="AC66" t="str">
            <v>0658-AJ5</v>
          </cell>
          <cell r="AD66" t="str">
            <v>L3-CY792</v>
          </cell>
          <cell r="AE66" t="str">
            <v>リコーImagio MPC3500</v>
          </cell>
          <cell r="AF66" t="str">
            <v>201.255.011.030</v>
          </cell>
          <cell r="AG66" t="str">
            <v>リコーImagio MPC3000</v>
          </cell>
          <cell r="AH66" t="str">
            <v>201.255.011.027</v>
          </cell>
          <cell r="AI66" t="str">
            <v/>
          </cell>
          <cell r="AJ66" t="str">
            <v/>
          </cell>
          <cell r="AK66" t="str">
            <v>WindowsXP(SP2)</v>
          </cell>
          <cell r="AL66" t="str">
            <v>KN-01</v>
          </cell>
          <cell r="AM66" t="str">
            <v>0016D33563FC</v>
          </cell>
          <cell r="AN66" t="str">
            <v>201.255.011.001</v>
          </cell>
          <cell r="AO66" t="str">
            <v>ｾﾝﾁｭﾘｰ・ﾘｰｼﾝｸﾞ・ｼｽﾃﾑ</v>
          </cell>
          <cell r="AP66" t="str">
            <v>L07048701</v>
          </cell>
          <cell r="AQ66" t="str">
            <v>KNG11089</v>
          </cell>
          <cell r="AR66" t="str">
            <v>CCIT</v>
          </cell>
          <cell r="AS66" t="str">
            <v/>
          </cell>
          <cell r="AT66" t="str">
            <v/>
          </cell>
          <cell r="AU66" t="str">
            <v/>
          </cell>
          <cell r="AV66" t="str">
            <v/>
          </cell>
          <cell r="AW66" t="str">
            <v/>
          </cell>
          <cell r="AX66" t="str">
            <v/>
          </cell>
          <cell r="AY66" t="str">
            <v/>
          </cell>
          <cell r="AZ66" t="str">
            <v>2009年7月よりｶｰﾎﾞﾝﾃｯｸへ請求</v>
          </cell>
          <cell r="BC66">
            <v>800</v>
          </cell>
          <cell r="BD66" t="str">
            <v/>
          </cell>
          <cell r="BE66" t="str">
            <v>SafeBoot</v>
          </cell>
        </row>
        <row r="67">
          <cell r="F67">
            <v>148</v>
          </cell>
          <cell r="G67" t="str">
            <v>201.255.011.158</v>
          </cell>
          <cell r="H67" t="str">
            <v/>
          </cell>
          <cell r="I67" t="str">
            <v>RSI</v>
          </cell>
          <cell r="J67" t="str">
            <v/>
          </cell>
          <cell r="K67" t="str">
            <v/>
          </cell>
          <cell r="L67" t="str">
            <v>ﾊﾟﾅｿﾆｯｸﾒｰｶｰ保守</v>
          </cell>
          <cell r="M67">
            <v>39630</v>
          </cell>
          <cell r="N67">
            <v>41090</v>
          </cell>
          <cell r="Q67" t="str">
            <v/>
          </cell>
          <cell r="R67" t="str">
            <v>PC</v>
          </cell>
          <cell r="S67" t="str">
            <v/>
          </cell>
          <cell r="T67" t="str">
            <v>尼崎</v>
          </cell>
          <cell r="U67" t="str">
            <v>本社</v>
          </cell>
          <cell r="V67" t="str">
            <v>カーボンテック</v>
          </cell>
          <cell r="W67" t="str">
            <v>ｶｰﾎﾞﾝﾃｯｸ機能材事業部</v>
          </cell>
          <cell r="X67" t="str">
            <v>村田　敦史</v>
          </cell>
          <cell r="Y67" t="str">
            <v>KNG4101</v>
          </cell>
          <cell r="Z67" t="str">
            <v/>
          </cell>
          <cell r="AA67" t="str">
            <v>モバイル</v>
          </cell>
          <cell r="AB67" t="str">
            <v>CF-R7</v>
          </cell>
          <cell r="AC67" t="str">
            <v>CF-R7CW5AXS</v>
          </cell>
          <cell r="AD67" t="str">
            <v>8DKSA25987</v>
          </cell>
          <cell r="AE67" t="str">
            <v>リコーImagio MPC3500</v>
          </cell>
          <cell r="AF67" t="str">
            <v>201.255.011.030</v>
          </cell>
          <cell r="AG67" t="str">
            <v/>
          </cell>
          <cell r="AH67" t="str">
            <v/>
          </cell>
          <cell r="AI67" t="str">
            <v/>
          </cell>
          <cell r="AJ67" t="str">
            <v/>
          </cell>
          <cell r="AK67" t="str">
            <v>WindowsXP(SP2)</v>
          </cell>
          <cell r="AL67" t="str">
            <v>CT</v>
          </cell>
          <cell r="AM67" t="str">
            <v/>
          </cell>
          <cell r="AN67" t="str">
            <v>201.255.011.001</v>
          </cell>
          <cell r="AO67" t="str">
            <v/>
          </cell>
          <cell r="AP67" t="str">
            <v/>
          </cell>
          <cell r="AQ67" t="str">
            <v>KNG11158</v>
          </cell>
          <cell r="AR67" t="str">
            <v>CCIT</v>
          </cell>
          <cell r="AS67" t="str">
            <v/>
          </cell>
          <cell r="AT67" t="str">
            <v/>
          </cell>
          <cell r="AU67" t="str">
            <v/>
          </cell>
          <cell r="AV67" t="str">
            <v/>
          </cell>
          <cell r="AW67" t="str">
            <v/>
          </cell>
          <cell r="AX67" t="str">
            <v/>
          </cell>
          <cell r="AY67" t="str">
            <v/>
          </cell>
          <cell r="AZ67" t="str">
            <v>2009年7月よりｶｰﾎﾞﾝﾃｯｸへ請求</v>
          </cell>
          <cell r="BB67">
            <v>4680</v>
          </cell>
          <cell r="BD67" t="str">
            <v/>
          </cell>
          <cell r="BE67" t="str">
            <v>SafeBoot</v>
          </cell>
        </row>
        <row r="68">
          <cell r="F68">
            <v>96</v>
          </cell>
          <cell r="G68" t="str">
            <v>146.143.010.058</v>
          </cell>
          <cell r="H68" t="str">
            <v/>
          </cell>
          <cell r="I68" t="str">
            <v>KN</v>
          </cell>
          <cell r="J68" t="str">
            <v/>
          </cell>
          <cell r="K68" t="str">
            <v>TG07P0101</v>
          </cell>
          <cell r="L68" t="str">
            <v>ﾊﾟﾅｿﾆｯｸﾒｰｶｰ保守</v>
          </cell>
          <cell r="M68">
            <v>39417</v>
          </cell>
          <cell r="N68">
            <v>40877</v>
          </cell>
          <cell r="Q68" t="str">
            <v/>
          </cell>
          <cell r="R68" t="str">
            <v>PC</v>
          </cell>
          <cell r="S68" t="str">
            <v/>
          </cell>
          <cell r="T68" t="str">
            <v>加古川</v>
          </cell>
          <cell r="U68" t="str">
            <v>加古川工場</v>
          </cell>
          <cell r="V68" t="str">
            <v>関西熱化学</v>
          </cell>
          <cell r="W68" t="str">
            <v>総務部　総務部長</v>
          </cell>
          <cell r="X68" t="str">
            <v>松田　健一</v>
          </cell>
          <cell r="Y68" t="str">
            <v>KNG4102</v>
          </cell>
          <cell r="Z68" t="str">
            <v/>
          </cell>
          <cell r="AA68" t="str">
            <v>モバイル</v>
          </cell>
          <cell r="AB68" t="str">
            <v>CF-R6</v>
          </cell>
          <cell r="AC68" t="str">
            <v>CF-R6AW1AXS</v>
          </cell>
          <cell r="AD68" t="str">
            <v>7IKSA37419</v>
          </cell>
          <cell r="AE68" t="str">
            <v>リコーImagio MPC2800　</v>
          </cell>
          <cell r="AF68" t="str">
            <v>146.143.010.232</v>
          </cell>
          <cell r="AG68" t="str">
            <v/>
          </cell>
          <cell r="AH68" t="str">
            <v/>
          </cell>
          <cell r="AI68" t="str">
            <v/>
          </cell>
          <cell r="AJ68" t="str">
            <v/>
          </cell>
          <cell r="AK68" t="str">
            <v>WindowsXP(SP2)</v>
          </cell>
          <cell r="AL68" t="str">
            <v>KN-03</v>
          </cell>
          <cell r="AM68" t="str">
            <v/>
          </cell>
          <cell r="AN68" t="str">
            <v>146.143.001.001</v>
          </cell>
          <cell r="AO68" t="str">
            <v>興銀リース</v>
          </cell>
          <cell r="AP68" t="str">
            <v>07-412607</v>
          </cell>
          <cell r="AQ68" t="str">
            <v>KNP3B058</v>
          </cell>
          <cell r="AR68" t="str">
            <v>CCIT</v>
          </cell>
          <cell r="AS68" t="str">
            <v/>
          </cell>
          <cell r="AT68" t="str">
            <v/>
          </cell>
          <cell r="AU68" t="str">
            <v/>
          </cell>
          <cell r="AV68" t="str">
            <v/>
          </cell>
          <cell r="AW68" t="str">
            <v/>
          </cell>
          <cell r="AX68" t="str">
            <v/>
          </cell>
          <cell r="AY68" t="str">
            <v/>
          </cell>
          <cell r="AZ68" t="str">
            <v>DELL 17ｲﾝﾁTFT液晶ﾓﾆﾀE170S、ﾛｼﾞｸｰﾙｸﾗｼｯｸｷｰﾎﾞｰﾄﾞ200ﾌﾞﾗｯｸ</v>
          </cell>
          <cell r="BA68">
            <v>44206</v>
          </cell>
          <cell r="BB68">
            <v>4439</v>
          </cell>
          <cell r="BD68" t="str">
            <v/>
          </cell>
          <cell r="BE68" t="str">
            <v>SafeBoot</v>
          </cell>
        </row>
        <row r="69">
          <cell r="F69">
            <v>3</v>
          </cell>
          <cell r="G69" t="str">
            <v>201.255.011.062</v>
          </cell>
          <cell r="H69" t="str">
            <v/>
          </cell>
          <cell r="I69" t="str">
            <v>KNE</v>
          </cell>
          <cell r="J69" t="str">
            <v>相殺　湊</v>
          </cell>
          <cell r="K69" t="str">
            <v>TG07P0006</v>
          </cell>
          <cell r="L69" t="str">
            <v>第３者保守</v>
          </cell>
          <cell r="M69">
            <v>39083</v>
          </cell>
          <cell r="N69">
            <v>40543</v>
          </cell>
          <cell r="Q69" t="str">
            <v/>
          </cell>
          <cell r="R69" t="str">
            <v>PC</v>
          </cell>
          <cell r="S69" t="str">
            <v>無線</v>
          </cell>
          <cell r="T69" t="str">
            <v>尼崎</v>
          </cell>
          <cell r="U69" t="str">
            <v>本社</v>
          </cell>
          <cell r="V69" t="str">
            <v>関西熱化学</v>
          </cell>
          <cell r="W69" t="str">
            <v>監査室室長</v>
          </cell>
          <cell r="X69" t="str">
            <v>永野　茂生</v>
          </cell>
          <cell r="Y69" t="str">
            <v>KNG4149</v>
          </cell>
          <cell r="Z69" t="str">
            <v/>
          </cell>
          <cell r="AA69" t="str">
            <v>Safeboot</v>
          </cell>
          <cell r="AB69" t="str">
            <v>ThinkPad R60e</v>
          </cell>
          <cell r="AC69" t="str">
            <v>0658-AJ5</v>
          </cell>
          <cell r="AD69" t="str">
            <v>L3-F6154</v>
          </cell>
          <cell r="AE69" t="str">
            <v>リコーImagio MPC3000</v>
          </cell>
          <cell r="AF69" t="str">
            <v>201.255.011.024</v>
          </cell>
          <cell r="AG69" t="str">
            <v/>
          </cell>
          <cell r="AH69" t="str">
            <v/>
          </cell>
          <cell r="AI69" t="str">
            <v/>
          </cell>
          <cell r="AJ69" t="str">
            <v/>
          </cell>
          <cell r="AK69" t="str">
            <v>WindowsXP(SP2)</v>
          </cell>
          <cell r="AL69" t="str">
            <v>KNE-総務</v>
          </cell>
          <cell r="AM69" t="str">
            <v/>
          </cell>
          <cell r="AN69" t="str">
            <v>201.255.011.001</v>
          </cell>
          <cell r="AO69" t="str">
            <v>ｾﾝﾁｭﾘｰ・ﾘｰｼﾝｸﾞ・ｼｽﾃﾑ</v>
          </cell>
          <cell r="AP69" t="str">
            <v>L07017160</v>
          </cell>
          <cell r="AQ69" t="str">
            <v>KNG11062</v>
          </cell>
          <cell r="AR69" t="str">
            <v>CCIT</v>
          </cell>
          <cell r="AS69" t="str">
            <v/>
          </cell>
          <cell r="AT69" t="str">
            <v/>
          </cell>
          <cell r="AU69" t="str">
            <v/>
          </cell>
          <cell r="AV69" t="str">
            <v/>
          </cell>
          <cell r="AW69" t="str">
            <v/>
          </cell>
          <cell r="AX69" t="str">
            <v/>
          </cell>
          <cell r="AY69" t="str">
            <v/>
          </cell>
          <cell r="AZ69" t="str">
            <v/>
          </cell>
          <cell r="BC69">
            <v>800</v>
          </cell>
          <cell r="BD69" t="str">
            <v/>
          </cell>
          <cell r="BE69" t="str">
            <v>SafeBoot</v>
          </cell>
        </row>
        <row r="70">
          <cell r="F70">
            <v>73</v>
          </cell>
          <cell r="G70" t="str">
            <v>146.143.010.208</v>
          </cell>
          <cell r="H70" t="str">
            <v/>
          </cell>
          <cell r="I70" t="str">
            <v>KN</v>
          </cell>
          <cell r="J70" t="str">
            <v/>
          </cell>
          <cell r="K70" t="str">
            <v>TG08P0008</v>
          </cell>
          <cell r="L70" t="str">
            <v>ﾊﾟﾅｿﾆｯｸﾒｰｶｰ保守</v>
          </cell>
          <cell r="M70">
            <v>39479</v>
          </cell>
          <cell r="N70">
            <v>40939</v>
          </cell>
          <cell r="Q70" t="str">
            <v/>
          </cell>
          <cell r="R70" t="str">
            <v>PC</v>
          </cell>
          <cell r="S70" t="str">
            <v/>
          </cell>
          <cell r="T70" t="str">
            <v>尼崎</v>
          </cell>
          <cell r="U70" t="str">
            <v>本社</v>
          </cell>
          <cell r="V70" t="str">
            <v>関西熱化学</v>
          </cell>
          <cell r="W70" t="str">
            <v>経営企画部</v>
          </cell>
          <cell r="X70" t="str">
            <v>長谷川　幸英</v>
          </cell>
          <cell r="Y70" t="str">
            <v>KNG4178</v>
          </cell>
          <cell r="Z70">
            <v>1</v>
          </cell>
          <cell r="AA70" t="str">
            <v>モバイル</v>
          </cell>
          <cell r="AB70" t="str">
            <v>CF-R6</v>
          </cell>
          <cell r="AC70" t="str">
            <v>CF-R6AW1AXS</v>
          </cell>
          <cell r="AD70" t="str">
            <v>7JKSA38126</v>
          </cell>
          <cell r="AE70" t="str">
            <v>リコーImagio MPC3500</v>
          </cell>
          <cell r="AF70" t="str">
            <v>201.255.011.030</v>
          </cell>
          <cell r="AG70" t="str">
            <v>リコーImagio MPC3000</v>
          </cell>
          <cell r="AH70" t="str">
            <v>201.255.011.027</v>
          </cell>
          <cell r="AI70" t="str">
            <v/>
          </cell>
          <cell r="AJ70" t="str">
            <v/>
          </cell>
          <cell r="AK70" t="str">
            <v>WindowsXP(SP2)</v>
          </cell>
          <cell r="AL70" t="str">
            <v>KN-01</v>
          </cell>
          <cell r="AM70" t="str">
            <v/>
          </cell>
          <cell r="AN70" t="str">
            <v>146.143.001.001</v>
          </cell>
          <cell r="AO70" t="str">
            <v>ｾﾝﾁｭﾘｰ・ﾘｰｼﾝｸﾞ・ｼｽﾃﾑ</v>
          </cell>
          <cell r="AP70" t="str">
            <v>L08027671</v>
          </cell>
          <cell r="AQ70" t="str">
            <v>KNP3B208</v>
          </cell>
          <cell r="AR70" t="str">
            <v>CCIT</v>
          </cell>
          <cell r="AS70" t="str">
            <v/>
          </cell>
          <cell r="AT70" t="str">
            <v/>
          </cell>
          <cell r="AU70" t="str">
            <v/>
          </cell>
          <cell r="AV70" t="str">
            <v/>
          </cell>
          <cell r="AW70" t="str">
            <v/>
          </cell>
          <cell r="AX70" t="str">
            <v/>
          </cell>
          <cell r="AY70" t="str">
            <v/>
          </cell>
          <cell r="AZ70" t="str">
            <v/>
          </cell>
          <cell r="BB70">
            <v>5000</v>
          </cell>
          <cell r="BD70" t="str">
            <v/>
          </cell>
          <cell r="BE70" t="str">
            <v>SafeBoot</v>
          </cell>
        </row>
        <row r="71">
          <cell r="F71">
            <v>120</v>
          </cell>
          <cell r="G71" t="str">
            <v>201.255.011.123</v>
          </cell>
          <cell r="H71" t="str">
            <v/>
          </cell>
          <cell r="I71" t="str">
            <v>KN</v>
          </cell>
          <cell r="J71" t="str">
            <v/>
          </cell>
          <cell r="K71" t="str">
            <v>TG07P0086</v>
          </cell>
          <cell r="L71" t="str">
            <v>第３者保守</v>
          </cell>
          <cell r="M71">
            <v>39356</v>
          </cell>
          <cell r="N71">
            <v>40816</v>
          </cell>
          <cell r="Q71" t="str">
            <v/>
          </cell>
          <cell r="R71" t="str">
            <v>PC</v>
          </cell>
          <cell r="S71" t="str">
            <v>無線</v>
          </cell>
          <cell r="T71" t="str">
            <v>尼崎</v>
          </cell>
          <cell r="U71" t="str">
            <v>本社</v>
          </cell>
          <cell r="V71" t="str">
            <v>関西熱化学</v>
          </cell>
          <cell r="W71" t="str">
            <v>経営企画部</v>
          </cell>
          <cell r="X71" t="str">
            <v>長谷川　幸英</v>
          </cell>
          <cell r="Y71" t="str">
            <v>KNG4178</v>
          </cell>
          <cell r="Z71" t="str">
            <v/>
          </cell>
          <cell r="AA71" t="str">
            <v>Safeboot</v>
          </cell>
          <cell r="AB71" t="str">
            <v>ThinkPad R60e</v>
          </cell>
          <cell r="AC71" t="str">
            <v>0658-BJ6</v>
          </cell>
          <cell r="AD71" t="str">
            <v>L3-GC345</v>
          </cell>
          <cell r="AE71" t="str">
            <v>リコーImagio MPC3500</v>
          </cell>
          <cell r="AF71" t="str">
            <v>201.255.011.030</v>
          </cell>
          <cell r="AG71" t="str">
            <v>リコーImagio MPC3000</v>
          </cell>
          <cell r="AH71" t="str">
            <v>201.255.011.027</v>
          </cell>
          <cell r="AI71" t="str">
            <v/>
          </cell>
          <cell r="AJ71" t="str">
            <v/>
          </cell>
          <cell r="AK71" t="str">
            <v>WindowsXP(SP2)</v>
          </cell>
          <cell r="AL71" t="str">
            <v>KN-01</v>
          </cell>
          <cell r="AM71" t="str">
            <v/>
          </cell>
          <cell r="AN71" t="str">
            <v>201.255.011.001</v>
          </cell>
          <cell r="AO71" t="str">
            <v>ｾﾝﾁｭﾘｰ・ﾘｰｼﾝｸﾞ・ｼｽﾃﾑ</v>
          </cell>
          <cell r="AP71" t="str">
            <v>L07107062</v>
          </cell>
          <cell r="AQ71" t="str">
            <v>KNG11123</v>
          </cell>
          <cell r="AR71" t="str">
            <v>CCIT</v>
          </cell>
          <cell r="AS71" t="str">
            <v/>
          </cell>
          <cell r="AT71" t="str">
            <v/>
          </cell>
          <cell r="AU71" t="str">
            <v/>
          </cell>
          <cell r="AV71" t="str">
            <v/>
          </cell>
          <cell r="AW71" t="str">
            <v/>
          </cell>
          <cell r="AX71" t="str">
            <v/>
          </cell>
          <cell r="AY71" t="str">
            <v/>
          </cell>
          <cell r="AZ71" t="str">
            <v/>
          </cell>
          <cell r="BC71">
            <v>800</v>
          </cell>
          <cell r="BD71" t="str">
            <v/>
          </cell>
          <cell r="BE71" t="str">
            <v>SafeBoot</v>
          </cell>
        </row>
        <row r="72">
          <cell r="F72">
            <v>4</v>
          </cell>
          <cell r="G72" t="str">
            <v>201.255.011.059</v>
          </cell>
          <cell r="H72" t="str">
            <v/>
          </cell>
          <cell r="I72" t="str">
            <v>RSI</v>
          </cell>
          <cell r="J72" t="str">
            <v/>
          </cell>
          <cell r="K72" t="str">
            <v/>
          </cell>
          <cell r="L72" t="str">
            <v>ﾊﾟﾅｿﾆｯｸﾒｰｶｰ保守</v>
          </cell>
          <cell r="M72">
            <v>39661</v>
          </cell>
          <cell r="N72">
            <v>41121</v>
          </cell>
          <cell r="Q72" t="str">
            <v/>
          </cell>
          <cell r="R72" t="str">
            <v>PC</v>
          </cell>
          <cell r="S72" t="str">
            <v>無線</v>
          </cell>
          <cell r="T72" t="str">
            <v>尼崎</v>
          </cell>
          <cell r="U72" t="str">
            <v>本社</v>
          </cell>
          <cell r="V72" t="str">
            <v>関西熱化学</v>
          </cell>
          <cell r="W72" t="str">
            <v>経理財務部</v>
          </cell>
          <cell r="X72" t="str">
            <v>境　邦敏</v>
          </cell>
          <cell r="Y72" t="str">
            <v>KNG4219</v>
          </cell>
          <cell r="Z72" t="str">
            <v/>
          </cell>
          <cell r="AA72" t="str">
            <v>モバイル</v>
          </cell>
          <cell r="AB72" t="str">
            <v>CF-R7</v>
          </cell>
          <cell r="AC72" t="str">
            <v>CF-R7CW5AXS</v>
          </cell>
          <cell r="AD72" t="str">
            <v>8DKSA25985</v>
          </cell>
          <cell r="AE72" t="str">
            <v>リコーImagio MPC3500</v>
          </cell>
          <cell r="AF72" t="str">
            <v>201.255.011.030</v>
          </cell>
          <cell r="AG72" t="str">
            <v>リコーImagio MPC3000</v>
          </cell>
          <cell r="AH72" t="str">
            <v>201.255.011.027</v>
          </cell>
          <cell r="AI72" t="str">
            <v>リコーIpsio SP 6220</v>
          </cell>
          <cell r="AJ72" t="str">
            <v>201.255.011.029</v>
          </cell>
          <cell r="AK72" t="str">
            <v>WindowsXP(SP2)</v>
          </cell>
          <cell r="AL72" t="str">
            <v>KN-01</v>
          </cell>
          <cell r="AM72" t="str">
            <v/>
          </cell>
          <cell r="AN72" t="str">
            <v>201.255.011.001</v>
          </cell>
          <cell r="AO72" t="str">
            <v/>
          </cell>
          <cell r="AP72" t="str">
            <v/>
          </cell>
          <cell r="AQ72" t="str">
            <v>KNG11059</v>
          </cell>
          <cell r="AR72" t="str">
            <v>CCIT</v>
          </cell>
          <cell r="AS72" t="str">
            <v/>
          </cell>
          <cell r="AT72" t="str">
            <v/>
          </cell>
          <cell r="AU72" t="str">
            <v/>
          </cell>
          <cell r="AV72" t="str">
            <v/>
          </cell>
          <cell r="AW72" t="str">
            <v/>
          </cell>
          <cell r="AX72" t="str">
            <v/>
          </cell>
          <cell r="AY72" t="str">
            <v/>
          </cell>
          <cell r="AZ72" t="str">
            <v>モニター　：サムスン17型液晶ﾓﾆﾀｰ　743APLUS(BK)、キーボード：Ultra-Flat Keyboard iK-40DS (ダークシャイン)（Logicool [Logitec]）</v>
          </cell>
          <cell r="BA72">
            <v>11148</v>
          </cell>
          <cell r="BB72">
            <v>4680</v>
          </cell>
          <cell r="BD72" t="str">
            <v/>
          </cell>
          <cell r="BE72" t="str">
            <v>SafeBoot</v>
          </cell>
        </row>
        <row r="73">
          <cell r="F73">
            <v>83</v>
          </cell>
          <cell r="G73" t="str">
            <v>146.143.010.035</v>
          </cell>
          <cell r="H73" t="str">
            <v/>
          </cell>
          <cell r="I73" t="str">
            <v>KN</v>
          </cell>
          <cell r="J73" t="str">
            <v/>
          </cell>
          <cell r="K73" t="str">
            <v>TG07P0101</v>
          </cell>
          <cell r="L73" t="str">
            <v>ﾊﾟﾅｿﾆｯｸﾒｰｶｰ保守</v>
          </cell>
          <cell r="M73">
            <v>39417</v>
          </cell>
          <cell r="N73">
            <v>40877</v>
          </cell>
          <cell r="Q73" t="str">
            <v/>
          </cell>
          <cell r="R73" t="str">
            <v>PC</v>
          </cell>
          <cell r="S73" t="str">
            <v/>
          </cell>
          <cell r="T73" t="str">
            <v>尼崎</v>
          </cell>
          <cell r="U73" t="str">
            <v>研究開発センター</v>
          </cell>
          <cell r="V73" t="str">
            <v>関西熱化学</v>
          </cell>
          <cell r="W73" t="str">
            <v>コークス開発Ｇ（尼崎）</v>
          </cell>
          <cell r="X73" t="str">
            <v>西村　勝</v>
          </cell>
          <cell r="Y73" t="str">
            <v>KNG4230</v>
          </cell>
          <cell r="Z73" t="str">
            <v/>
          </cell>
          <cell r="AA73" t="str">
            <v>モバイル</v>
          </cell>
          <cell r="AB73" t="str">
            <v>CF-R6</v>
          </cell>
          <cell r="AC73" t="str">
            <v>CF-R6AW1AXS</v>
          </cell>
          <cell r="AD73" t="str">
            <v>7JKSA38233</v>
          </cell>
          <cell r="AE73" t="str">
            <v>リコーImagio MPC3000</v>
          </cell>
          <cell r="AF73" t="str">
            <v>146.143.010.234</v>
          </cell>
          <cell r="AG73" t="str">
            <v/>
          </cell>
          <cell r="AH73" t="str">
            <v/>
          </cell>
          <cell r="AI73" t="str">
            <v/>
          </cell>
          <cell r="AJ73" t="str">
            <v/>
          </cell>
          <cell r="AK73" t="str">
            <v>WindowsXP(SP2)</v>
          </cell>
          <cell r="AL73" t="str">
            <v>KN-02</v>
          </cell>
          <cell r="AM73" t="str">
            <v/>
          </cell>
          <cell r="AN73" t="str">
            <v>201.255.061.001</v>
          </cell>
          <cell r="AO73" t="str">
            <v>興銀リース</v>
          </cell>
          <cell r="AP73" t="str">
            <v>07-412607</v>
          </cell>
          <cell r="AQ73" t="str">
            <v>KNP3B035</v>
          </cell>
          <cell r="AR73" t="str">
            <v>CCIT</v>
          </cell>
          <cell r="AS73" t="str">
            <v/>
          </cell>
          <cell r="AT73" t="str">
            <v/>
          </cell>
          <cell r="AU73" t="str">
            <v/>
          </cell>
          <cell r="AV73" t="str">
            <v/>
          </cell>
          <cell r="AW73" t="str">
            <v/>
          </cell>
          <cell r="AX73" t="str">
            <v/>
          </cell>
          <cell r="AY73" t="str">
            <v/>
          </cell>
          <cell r="AZ73" t="str">
            <v/>
          </cell>
          <cell r="BB73">
            <v>4439</v>
          </cell>
          <cell r="BD73" t="str">
            <v/>
          </cell>
          <cell r="BE73" t="str">
            <v>SafeBoot</v>
          </cell>
        </row>
        <row r="74">
          <cell r="F74">
            <v>113</v>
          </cell>
          <cell r="G74" t="str">
            <v>201.255.061.159</v>
          </cell>
          <cell r="H74" t="str">
            <v/>
          </cell>
          <cell r="I74" t="str">
            <v>KN</v>
          </cell>
          <cell r="J74" t="str">
            <v/>
          </cell>
          <cell r="K74" t="str">
            <v>TG07P0101</v>
          </cell>
          <cell r="L74" t="str">
            <v>ﾊﾟﾅｿﾆｯｸﾒｰｶｰ保守</v>
          </cell>
          <cell r="M74">
            <v>39417</v>
          </cell>
          <cell r="N74">
            <v>40877</v>
          </cell>
          <cell r="Q74" t="str">
            <v/>
          </cell>
          <cell r="R74" t="str">
            <v>PC</v>
          </cell>
          <cell r="S74" t="str">
            <v/>
          </cell>
          <cell r="T74" t="str">
            <v>尼崎</v>
          </cell>
          <cell r="U74" t="str">
            <v>研究開発センター</v>
          </cell>
          <cell r="V74" t="str">
            <v>関西熱化学</v>
          </cell>
          <cell r="W74" t="str">
            <v>新館２Ｆ事務所</v>
          </cell>
          <cell r="X74" t="str">
            <v>田口　淳一郎</v>
          </cell>
          <cell r="Y74" t="str">
            <v>KNG4231</v>
          </cell>
          <cell r="Z74" t="str">
            <v/>
          </cell>
          <cell r="AA74" t="str">
            <v>モバイル</v>
          </cell>
          <cell r="AB74" t="str">
            <v>CF-R6</v>
          </cell>
          <cell r="AC74" t="str">
            <v>CF-R6AW1AXS</v>
          </cell>
          <cell r="AD74" t="str">
            <v>7JKSA38139</v>
          </cell>
          <cell r="AE74" t="str">
            <v>リコーIpsio SP C820</v>
          </cell>
          <cell r="AF74" t="str">
            <v>201.255.061.027</v>
          </cell>
          <cell r="AG74" t="str">
            <v>リコーImagio MPC3000</v>
          </cell>
          <cell r="AH74" t="str">
            <v>201.255.061.033</v>
          </cell>
          <cell r="AI74" t="str">
            <v/>
          </cell>
          <cell r="AJ74" t="str">
            <v/>
          </cell>
          <cell r="AK74" t="str">
            <v>WindowsXP(SP2)</v>
          </cell>
          <cell r="AL74" t="str">
            <v>KN-02</v>
          </cell>
          <cell r="AM74" t="str">
            <v/>
          </cell>
          <cell r="AN74" t="str">
            <v>201.255.061.001</v>
          </cell>
          <cell r="AO74" t="str">
            <v>興銀リース</v>
          </cell>
          <cell r="AP74" t="str">
            <v>07-412607</v>
          </cell>
          <cell r="AQ74" t="str">
            <v>KNG61159</v>
          </cell>
          <cell r="AR74" t="str">
            <v>CCIT</v>
          </cell>
          <cell r="AS74" t="str">
            <v/>
          </cell>
          <cell r="AT74" t="str">
            <v/>
          </cell>
          <cell r="AU74" t="str">
            <v/>
          </cell>
          <cell r="AV74" t="str">
            <v/>
          </cell>
          <cell r="AW74" t="str">
            <v/>
          </cell>
          <cell r="AX74" t="str">
            <v/>
          </cell>
          <cell r="AY74" t="str">
            <v/>
          </cell>
          <cell r="AZ74" t="str">
            <v/>
          </cell>
          <cell r="BB74">
            <v>4439</v>
          </cell>
          <cell r="BD74" t="str">
            <v/>
          </cell>
          <cell r="BE74" t="str">
            <v>SafeBoot</v>
          </cell>
        </row>
        <row r="75">
          <cell r="F75">
            <v>41</v>
          </cell>
          <cell r="G75" t="str">
            <v>146.143.010.134</v>
          </cell>
          <cell r="H75" t="str">
            <v/>
          </cell>
          <cell r="I75" t="str">
            <v>RSI</v>
          </cell>
          <cell r="J75" t="str">
            <v/>
          </cell>
          <cell r="K75" t="str">
            <v/>
          </cell>
          <cell r="L75" t="str">
            <v>ﾊﾟﾅｿﾆｯｸﾒｰｶｰ保守</v>
          </cell>
          <cell r="M75">
            <v>39630</v>
          </cell>
          <cell r="N75">
            <v>41090</v>
          </cell>
          <cell r="Q75" t="str">
            <v/>
          </cell>
          <cell r="R75" t="str">
            <v>PC</v>
          </cell>
          <cell r="S75" t="str">
            <v/>
          </cell>
          <cell r="T75" t="str">
            <v>加古川</v>
          </cell>
          <cell r="U75" t="str">
            <v>加古川工場</v>
          </cell>
          <cell r="V75" t="str">
            <v>関西熱化学</v>
          </cell>
          <cell r="W75" t="str">
            <v>生産センター　技術Gr</v>
          </cell>
          <cell r="X75" t="str">
            <v>稲益　裕修</v>
          </cell>
          <cell r="Y75" t="str">
            <v>KNG4264</v>
          </cell>
          <cell r="Z75" t="str">
            <v/>
          </cell>
          <cell r="AA75" t="str">
            <v>モバイル</v>
          </cell>
          <cell r="AB75" t="str">
            <v>CF-R7</v>
          </cell>
          <cell r="AC75" t="str">
            <v>CF-R7CW5AXS</v>
          </cell>
          <cell r="AD75" t="str">
            <v>8DKCA26652</v>
          </cell>
          <cell r="AE75" t="str">
            <v>リコーImagio MPC2800</v>
          </cell>
          <cell r="AF75" t="str">
            <v>146.143.010.233</v>
          </cell>
          <cell r="AG75" t="str">
            <v/>
          </cell>
          <cell r="AH75" t="str">
            <v/>
          </cell>
          <cell r="AI75" t="str">
            <v/>
          </cell>
          <cell r="AJ75" t="str">
            <v/>
          </cell>
          <cell r="AK75" t="str">
            <v>WindowsXP(SP2)</v>
          </cell>
          <cell r="AL75" t="str">
            <v>KN-03</v>
          </cell>
          <cell r="AM75" t="str">
            <v/>
          </cell>
          <cell r="AN75" t="str">
            <v>146.143.001.001</v>
          </cell>
          <cell r="AO75" t="str">
            <v/>
          </cell>
          <cell r="AP75" t="str">
            <v/>
          </cell>
          <cell r="AQ75" t="str">
            <v>KNP3B134</v>
          </cell>
          <cell r="AR75" t="str">
            <v>CCIT</v>
          </cell>
          <cell r="AS75" t="str">
            <v/>
          </cell>
          <cell r="AT75" t="str">
            <v/>
          </cell>
          <cell r="AU75" t="str">
            <v/>
          </cell>
          <cell r="AV75" t="str">
            <v/>
          </cell>
          <cell r="AW75" t="str">
            <v/>
          </cell>
          <cell r="AX75" t="str">
            <v/>
          </cell>
          <cell r="AY75" t="str">
            <v/>
          </cell>
          <cell r="AZ75" t="str">
            <v/>
          </cell>
          <cell r="BB75">
            <v>4680</v>
          </cell>
          <cell r="BD75" t="str">
            <v/>
          </cell>
          <cell r="BE75" t="str">
            <v>SafeBoot</v>
          </cell>
        </row>
        <row r="76">
          <cell r="F76">
            <v>27</v>
          </cell>
          <cell r="G76" t="str">
            <v>201.255.011.088</v>
          </cell>
          <cell r="H76" t="str">
            <v/>
          </cell>
          <cell r="I76" t="str">
            <v>KN</v>
          </cell>
          <cell r="J76" t="str">
            <v/>
          </cell>
          <cell r="K76" t="str">
            <v>TG07P0011</v>
          </cell>
          <cell r="L76" t="str">
            <v>ﾊﾟﾅｿﾆｯｸﾒｰｶｰ保守</v>
          </cell>
          <cell r="M76">
            <v>39114</v>
          </cell>
          <cell r="N76">
            <v>40574</v>
          </cell>
          <cell r="Q76" t="str">
            <v/>
          </cell>
          <cell r="R76" t="str">
            <v>PC</v>
          </cell>
          <cell r="S76" t="str">
            <v>無線</v>
          </cell>
          <cell r="T76" t="str">
            <v>尼崎</v>
          </cell>
          <cell r="U76" t="str">
            <v>本社</v>
          </cell>
          <cell r="V76" t="str">
            <v>関西熱化学</v>
          </cell>
          <cell r="W76" t="str">
            <v>総務人事部</v>
          </cell>
          <cell r="X76" t="str">
            <v>加藤　　徳治</v>
          </cell>
          <cell r="Y76" t="str">
            <v>KNG4266</v>
          </cell>
          <cell r="Z76" t="str">
            <v/>
          </cell>
          <cell r="AA76" t="str">
            <v>モバイル</v>
          </cell>
          <cell r="AB76" t="str">
            <v>CF-R5</v>
          </cell>
          <cell r="AC76" t="str">
            <v>CF-R5KC4AXS</v>
          </cell>
          <cell r="AD76" t="str">
            <v>6HKSA17792</v>
          </cell>
          <cell r="AE76" t="str">
            <v>リコーImagio MPC3000</v>
          </cell>
          <cell r="AF76" t="str">
            <v>201.255.011.024</v>
          </cell>
          <cell r="AG76" t="str">
            <v>EPSON PM-G4500</v>
          </cell>
          <cell r="AH76" t="str">
            <v>201.255.011.023</v>
          </cell>
          <cell r="AI76" t="str">
            <v/>
          </cell>
          <cell r="AJ76" t="str">
            <v/>
          </cell>
          <cell r="AK76" t="str">
            <v>WindowsXP(SP2)</v>
          </cell>
          <cell r="AL76" t="str">
            <v>KN-01</v>
          </cell>
          <cell r="AM76" t="str">
            <v/>
          </cell>
          <cell r="AN76" t="str">
            <v>201.255.011.001</v>
          </cell>
          <cell r="AO76" t="str">
            <v>ｾﾝﾁｭﾘｰ・ﾘｰｼﾝｸﾞ・ｼｽﾃﾑ</v>
          </cell>
          <cell r="AP76" t="str">
            <v>L07017163</v>
          </cell>
          <cell r="AQ76" t="str">
            <v>KNG11088</v>
          </cell>
          <cell r="AR76" t="str">
            <v>CCIT</v>
          </cell>
          <cell r="AS76" t="str">
            <v/>
          </cell>
          <cell r="AT76" t="str">
            <v/>
          </cell>
          <cell r="AU76" t="str">
            <v/>
          </cell>
          <cell r="AV76" t="str">
            <v/>
          </cell>
          <cell r="AW76" t="str">
            <v/>
          </cell>
          <cell r="AX76" t="str">
            <v/>
          </cell>
          <cell r="AY76" t="str">
            <v/>
          </cell>
          <cell r="AZ76" t="str">
            <v/>
          </cell>
          <cell r="BB76">
            <v>4930</v>
          </cell>
          <cell r="BD76" t="str">
            <v/>
          </cell>
          <cell r="BE76" t="str">
            <v>SafeBoot</v>
          </cell>
        </row>
        <row r="77">
          <cell r="F77">
            <v>97</v>
          </cell>
          <cell r="G77" t="str">
            <v>201.255.061.040</v>
          </cell>
          <cell r="H77" t="str">
            <v/>
          </cell>
          <cell r="I77" t="str">
            <v>RSI</v>
          </cell>
          <cell r="J77" t="str">
            <v/>
          </cell>
          <cell r="K77" t="str">
            <v/>
          </cell>
          <cell r="L77" t="str">
            <v>第３者保守</v>
          </cell>
          <cell r="M77">
            <v>40148</v>
          </cell>
          <cell r="N77">
            <v>41608</v>
          </cell>
          <cell r="Q77" t="str">
            <v/>
          </cell>
          <cell r="R77" t="str">
            <v>PC</v>
          </cell>
          <cell r="S77" t="str">
            <v/>
          </cell>
          <cell r="T77" t="str">
            <v>尼崎</v>
          </cell>
          <cell r="U77" t="str">
            <v>研究開発センター</v>
          </cell>
          <cell r="V77" t="str">
            <v>ＫＮラボアナリシス</v>
          </cell>
          <cell r="W77" t="str">
            <v>分析事業部</v>
          </cell>
          <cell r="X77" t="str">
            <v>中筋　光伸</v>
          </cell>
          <cell r="Y77" t="str">
            <v>KNG4277</v>
          </cell>
          <cell r="Z77" t="str">
            <v/>
          </cell>
          <cell r="AA77" t="str">
            <v>モバイル</v>
          </cell>
          <cell r="AB77" t="str">
            <v>FMV-R8280</v>
          </cell>
          <cell r="AC77" t="str">
            <v>FMVNR9P1C</v>
          </cell>
          <cell r="AD77" t="str">
            <v>R9901860</v>
          </cell>
          <cell r="AE77" t="str">
            <v>リコーImagio Neo 453</v>
          </cell>
          <cell r="AF77" t="str">
            <v>201.255.061.032</v>
          </cell>
          <cell r="AG77" t="str">
            <v>リコーIpsio NX860e</v>
          </cell>
          <cell r="AH77" t="str">
            <v>201.255.061.023</v>
          </cell>
          <cell r="AI77" t="str">
            <v>リコーImagio Neo C285</v>
          </cell>
          <cell r="AJ77" t="str">
            <v>201.255.061.030</v>
          </cell>
          <cell r="AK77" t="str">
            <v>WindowsXP(SP2)</v>
          </cell>
          <cell r="AL77" t="str">
            <v>KNL-02</v>
          </cell>
          <cell r="AM77" t="str">
            <v/>
          </cell>
          <cell r="AN77" t="str">
            <v>201.255.061.001</v>
          </cell>
          <cell r="AO77" t="str">
            <v/>
          </cell>
          <cell r="AP77" t="str">
            <v/>
          </cell>
          <cell r="AQ77" t="str">
            <v>KNG61040</v>
          </cell>
          <cell r="AR77" t="str">
            <v>CCIT</v>
          </cell>
          <cell r="AS77" t="str">
            <v/>
          </cell>
          <cell r="AT77" t="str">
            <v/>
          </cell>
          <cell r="AU77" t="str">
            <v/>
          </cell>
          <cell r="AV77" t="str">
            <v/>
          </cell>
          <cell r="AW77" t="str">
            <v/>
          </cell>
          <cell r="AX77" t="str">
            <v/>
          </cell>
          <cell r="AY77" t="str">
            <v/>
          </cell>
          <cell r="AZ77" t="str">
            <v/>
          </cell>
          <cell r="BB77">
            <v>3370</v>
          </cell>
          <cell r="BD77" t="str">
            <v/>
          </cell>
          <cell r="BE77" t="str">
            <v>SafeBoot</v>
          </cell>
        </row>
        <row r="78">
          <cell r="F78">
            <v>46</v>
          </cell>
          <cell r="G78" t="str">
            <v>146.143.010.097</v>
          </cell>
          <cell r="H78" t="str">
            <v/>
          </cell>
          <cell r="I78" t="str">
            <v>KN</v>
          </cell>
          <cell r="J78" t="str">
            <v/>
          </cell>
          <cell r="K78" t="str">
            <v>TG07P0086</v>
          </cell>
          <cell r="L78" t="str">
            <v>第３者保守</v>
          </cell>
          <cell r="M78">
            <v>39356</v>
          </cell>
          <cell r="N78">
            <v>40816</v>
          </cell>
          <cell r="Q78" t="str">
            <v/>
          </cell>
          <cell r="R78" t="str">
            <v>PC</v>
          </cell>
          <cell r="S78" t="str">
            <v/>
          </cell>
          <cell r="T78" t="str">
            <v>加古川</v>
          </cell>
          <cell r="U78" t="str">
            <v>加古川工場</v>
          </cell>
          <cell r="V78" t="str">
            <v>関西熱化学</v>
          </cell>
          <cell r="W78" t="str">
            <v>生産センター　設備課</v>
          </cell>
          <cell r="X78" t="str">
            <v>堀之内　俊司</v>
          </cell>
          <cell r="Y78" t="str">
            <v>KNG4340</v>
          </cell>
          <cell r="Z78" t="str">
            <v/>
          </cell>
          <cell r="AA78" t="str">
            <v>Safeboot</v>
          </cell>
          <cell r="AB78" t="str">
            <v>ThinkPad R60e</v>
          </cell>
          <cell r="AC78" t="str">
            <v>0658-BJ6</v>
          </cell>
          <cell r="AD78" t="str">
            <v>L3-GC424</v>
          </cell>
          <cell r="AE78" t="str">
            <v>リコーImagio MPC3300</v>
          </cell>
          <cell r="AF78" t="str">
            <v>146.143.010.220</v>
          </cell>
          <cell r="AG78" t="str">
            <v>リコーImagio MPC3300</v>
          </cell>
          <cell r="AH78" t="str">
            <v>146.143.010.228</v>
          </cell>
          <cell r="AI78" t="str">
            <v/>
          </cell>
          <cell r="AJ78" t="str">
            <v/>
          </cell>
          <cell r="AK78" t="str">
            <v>WindowsXP(SP2)</v>
          </cell>
          <cell r="AL78" t="str">
            <v>KN-03</v>
          </cell>
          <cell r="AM78" t="str">
            <v>0016D3B84946</v>
          </cell>
          <cell r="AN78" t="str">
            <v>146.143.001.001</v>
          </cell>
          <cell r="AO78" t="str">
            <v>ｾﾝﾁｭﾘｰ・ﾘｰｼﾝｸﾞ・ｼｽﾃﾑ</v>
          </cell>
          <cell r="AP78" t="str">
            <v>L07107062</v>
          </cell>
          <cell r="AQ78" t="str">
            <v>KNP3B097</v>
          </cell>
          <cell r="AR78" t="str">
            <v>CCIT</v>
          </cell>
          <cell r="AS78" t="str">
            <v/>
          </cell>
          <cell r="AT78" t="str">
            <v/>
          </cell>
          <cell r="AU78" t="str">
            <v/>
          </cell>
          <cell r="AV78" t="str">
            <v/>
          </cell>
          <cell r="AW78" t="str">
            <v/>
          </cell>
          <cell r="AX78" t="str">
            <v/>
          </cell>
          <cell r="AY78" t="str">
            <v/>
          </cell>
          <cell r="AZ78" t="str">
            <v/>
          </cell>
          <cell r="BC78">
            <v>800</v>
          </cell>
          <cell r="BD78" t="str">
            <v/>
          </cell>
          <cell r="BE78" t="str">
            <v>SafeBoot</v>
          </cell>
        </row>
        <row r="79">
          <cell r="F79">
            <v>5</v>
          </cell>
          <cell r="G79" t="str">
            <v>201.255.011.057</v>
          </cell>
          <cell r="H79" t="str">
            <v/>
          </cell>
          <cell r="I79" t="str">
            <v>KN</v>
          </cell>
          <cell r="J79" t="str">
            <v/>
          </cell>
          <cell r="K79" t="str">
            <v>TG07P0021</v>
          </cell>
          <cell r="L79" t="str">
            <v>第３者保守</v>
          </cell>
          <cell r="M79">
            <v>39142</v>
          </cell>
          <cell r="N79">
            <v>40602</v>
          </cell>
          <cell r="Q79" t="str">
            <v/>
          </cell>
          <cell r="R79" t="str">
            <v>PC</v>
          </cell>
          <cell r="S79" t="str">
            <v>無線</v>
          </cell>
          <cell r="T79" t="str">
            <v>尼崎</v>
          </cell>
          <cell r="U79" t="str">
            <v>本社</v>
          </cell>
          <cell r="V79" t="str">
            <v>関西熱化学</v>
          </cell>
          <cell r="W79" t="str">
            <v>経理財務部</v>
          </cell>
          <cell r="X79" t="str">
            <v>米谷　弘</v>
          </cell>
          <cell r="Y79" t="str">
            <v>KNG4351</v>
          </cell>
          <cell r="Z79" t="str">
            <v/>
          </cell>
          <cell r="AA79" t="str">
            <v>Safeboot</v>
          </cell>
          <cell r="AB79" t="str">
            <v>ThinkPad R60e</v>
          </cell>
          <cell r="AC79" t="str">
            <v>0658-AJ5</v>
          </cell>
          <cell r="AD79" t="str">
            <v>L3-F6203</v>
          </cell>
          <cell r="AE79" t="str">
            <v>リコーImagio MPC3500</v>
          </cell>
          <cell r="AF79" t="str">
            <v>201.255.011.030</v>
          </cell>
          <cell r="AG79" t="str">
            <v>リコーImagio MPC3000</v>
          </cell>
          <cell r="AH79" t="str">
            <v>201.255.011.027</v>
          </cell>
          <cell r="AI79" t="str">
            <v/>
          </cell>
          <cell r="AJ79" t="str">
            <v/>
          </cell>
          <cell r="AK79" t="str">
            <v>WindowsXP(SP2)</v>
          </cell>
          <cell r="AL79" t="str">
            <v>KN-01</v>
          </cell>
          <cell r="AM79" t="str">
            <v>0016D3284D94</v>
          </cell>
          <cell r="AN79" t="str">
            <v>201.255.011.001</v>
          </cell>
          <cell r="AO79" t="str">
            <v>興銀リース</v>
          </cell>
          <cell r="AP79" t="str">
            <v>06-411145</v>
          </cell>
          <cell r="AQ79" t="str">
            <v>KNG11057</v>
          </cell>
          <cell r="AR79" t="str">
            <v>CCIT</v>
          </cell>
          <cell r="AS79" t="str">
            <v/>
          </cell>
          <cell r="AT79" t="str">
            <v/>
          </cell>
          <cell r="AU79" t="str">
            <v/>
          </cell>
          <cell r="AV79" t="str">
            <v/>
          </cell>
          <cell r="AW79" t="str">
            <v/>
          </cell>
          <cell r="AX79" t="str">
            <v/>
          </cell>
          <cell r="AY79" t="str">
            <v/>
          </cell>
          <cell r="AZ79" t="str">
            <v>変動費・原料炭費は経理財務部全員が使用</v>
          </cell>
          <cell r="BC79">
            <v>800</v>
          </cell>
          <cell r="BD79" t="str">
            <v/>
          </cell>
          <cell r="BE79" t="str">
            <v>SafeBoot</v>
          </cell>
        </row>
        <row r="80">
          <cell r="F80">
            <v>22</v>
          </cell>
          <cell r="G80" t="str">
            <v>201.255.011.097</v>
          </cell>
          <cell r="H80" t="str">
            <v/>
          </cell>
          <cell r="I80" t="str">
            <v>KN</v>
          </cell>
          <cell r="J80" t="str">
            <v/>
          </cell>
          <cell r="K80" t="str">
            <v>TG07P0084</v>
          </cell>
          <cell r="L80" t="str">
            <v>第３者保守</v>
          </cell>
          <cell r="M80">
            <v>39356</v>
          </cell>
          <cell r="N80">
            <v>40816</v>
          </cell>
          <cell r="Q80" t="str">
            <v/>
          </cell>
          <cell r="R80" t="str">
            <v>PC</v>
          </cell>
          <cell r="S80" t="str">
            <v>無線</v>
          </cell>
          <cell r="T80" t="str">
            <v>尼崎</v>
          </cell>
          <cell r="U80" t="str">
            <v>本社</v>
          </cell>
          <cell r="V80" t="str">
            <v>関西熱化学</v>
          </cell>
          <cell r="W80" t="str">
            <v>総務人事部</v>
          </cell>
          <cell r="X80" t="str">
            <v>小南　陽子</v>
          </cell>
          <cell r="Y80" t="str">
            <v>KNG4378</v>
          </cell>
          <cell r="Z80" t="str">
            <v/>
          </cell>
          <cell r="AA80" t="str">
            <v>モバイル</v>
          </cell>
          <cell r="AB80" t="str">
            <v>ThinkPad R60e</v>
          </cell>
          <cell r="AC80" t="str">
            <v>0658-BJ6</v>
          </cell>
          <cell r="AD80" t="str">
            <v>L3-GC299</v>
          </cell>
          <cell r="AE80" t="str">
            <v>リコーImagio MPC3000</v>
          </cell>
          <cell r="AF80" t="str">
            <v>201.255.011.024</v>
          </cell>
          <cell r="AG80" t="str">
            <v>リコーIpsio SP 6220</v>
          </cell>
          <cell r="AH80" t="str">
            <v>201.255.011.029</v>
          </cell>
          <cell r="AI80" t="str">
            <v/>
          </cell>
          <cell r="AJ80" t="str">
            <v/>
          </cell>
          <cell r="AK80" t="str">
            <v>WindowsXP(SP2)</v>
          </cell>
          <cell r="AL80" t="str">
            <v>KN-01</v>
          </cell>
          <cell r="AM80" t="str">
            <v>0016D3B117CB</v>
          </cell>
          <cell r="AN80" t="str">
            <v>201.255.011.001</v>
          </cell>
          <cell r="AO80" t="str">
            <v>ｾﾝﾁｭﾘｰ・ﾘｰｼﾝｸﾞ・ｼｽﾃﾑ</v>
          </cell>
          <cell r="AP80" t="str">
            <v>L07107061</v>
          </cell>
          <cell r="AQ80" t="str">
            <v>KNG11097</v>
          </cell>
          <cell r="AR80" t="str">
            <v>CCIT</v>
          </cell>
          <cell r="AS80" t="str">
            <v/>
          </cell>
          <cell r="AT80" t="str">
            <v/>
          </cell>
          <cell r="AU80" t="str">
            <v/>
          </cell>
          <cell r="AV80" t="str">
            <v/>
          </cell>
          <cell r="AW80" t="str">
            <v/>
          </cell>
          <cell r="AX80" t="str">
            <v/>
          </cell>
          <cell r="AY80" t="str">
            <v/>
          </cell>
          <cell r="AZ80" t="str">
            <v/>
          </cell>
          <cell r="BC80">
            <v>800</v>
          </cell>
          <cell r="BD80" t="str">
            <v/>
          </cell>
          <cell r="BE80" t="str">
            <v>SafeBoot</v>
          </cell>
        </row>
        <row r="81">
          <cell r="F81">
            <v>82</v>
          </cell>
          <cell r="G81" t="str">
            <v>201.255.061.150</v>
          </cell>
          <cell r="H81" t="str">
            <v/>
          </cell>
          <cell r="I81" t="str">
            <v>KN</v>
          </cell>
          <cell r="J81" t="str">
            <v/>
          </cell>
          <cell r="K81" t="str">
            <v>TG07P0101</v>
          </cell>
          <cell r="L81" t="str">
            <v>ﾊﾟﾅｿﾆｯｸﾒｰｶｰ保守</v>
          </cell>
          <cell r="M81">
            <v>39417</v>
          </cell>
          <cell r="N81">
            <v>40877</v>
          </cell>
          <cell r="Q81" t="str">
            <v/>
          </cell>
          <cell r="R81" t="str">
            <v>PC</v>
          </cell>
          <cell r="S81" t="str">
            <v/>
          </cell>
          <cell r="T81" t="str">
            <v>尼崎</v>
          </cell>
          <cell r="U81" t="str">
            <v>研究開発センター</v>
          </cell>
          <cell r="V81" t="str">
            <v>関西熱化学</v>
          </cell>
          <cell r="W81" t="str">
            <v>新館２Ｆ事務所</v>
          </cell>
          <cell r="X81" t="str">
            <v>松平　寛司</v>
          </cell>
          <cell r="Y81" t="str">
            <v>KNG4381</v>
          </cell>
          <cell r="Z81" t="str">
            <v/>
          </cell>
          <cell r="AA81" t="str">
            <v>モバイル</v>
          </cell>
          <cell r="AB81" t="str">
            <v>CF-R6</v>
          </cell>
          <cell r="AC81" t="str">
            <v>CF-R6AW1AXS</v>
          </cell>
          <cell r="AD81" t="str">
            <v>7JKSA37985</v>
          </cell>
          <cell r="AE81" t="str">
            <v>リコーIpsio SP C820</v>
          </cell>
          <cell r="AF81" t="str">
            <v>201.255.061.027</v>
          </cell>
          <cell r="AG81" t="str">
            <v>リコーImagio MPC3000</v>
          </cell>
          <cell r="AH81" t="str">
            <v>201.255.061.033</v>
          </cell>
          <cell r="AI81" t="str">
            <v/>
          </cell>
          <cell r="AJ81" t="str">
            <v/>
          </cell>
          <cell r="AK81" t="str">
            <v>WindowsXP(SP2)</v>
          </cell>
          <cell r="AL81" t="str">
            <v>KN-02</v>
          </cell>
          <cell r="AM81" t="str">
            <v/>
          </cell>
          <cell r="AN81" t="str">
            <v>201.255.061.001</v>
          </cell>
          <cell r="AO81" t="str">
            <v>興銀リース</v>
          </cell>
          <cell r="AP81" t="str">
            <v>07-412607</v>
          </cell>
          <cell r="AQ81" t="str">
            <v>KNG61150</v>
          </cell>
          <cell r="AR81" t="str">
            <v>CCIT</v>
          </cell>
          <cell r="AS81" t="str">
            <v/>
          </cell>
          <cell r="AT81" t="str">
            <v/>
          </cell>
          <cell r="AU81" t="str">
            <v/>
          </cell>
          <cell r="AV81" t="str">
            <v/>
          </cell>
          <cell r="AW81" t="str">
            <v/>
          </cell>
          <cell r="AX81" t="str">
            <v/>
          </cell>
          <cell r="AY81" t="str">
            <v/>
          </cell>
          <cell r="AZ81" t="str">
            <v>モニター　：サムスン17型液晶ﾓﾆﾀｰ　743APLUS(BK) 、キーボード：ﾛｼﾞｸｰﾙ ｸﾗｼｯｸｷｰﾎﾞｰﾄﾞ 200 iK-21WH</v>
          </cell>
          <cell r="BB81">
            <v>4439</v>
          </cell>
          <cell r="BD81" t="str">
            <v/>
          </cell>
          <cell r="BE81" t="str">
            <v>SafeBoot</v>
          </cell>
        </row>
        <row r="82">
          <cell r="F82">
            <v>63</v>
          </cell>
          <cell r="G82" t="str">
            <v>146.143.020.055</v>
          </cell>
          <cell r="H82" t="str">
            <v/>
          </cell>
          <cell r="I82" t="str">
            <v>RSI</v>
          </cell>
          <cell r="J82" t="str">
            <v/>
          </cell>
          <cell r="K82" t="str">
            <v/>
          </cell>
          <cell r="L82" t="str">
            <v>ﾊﾟﾅｿﾆｯｸﾒｰｶｰ保守</v>
          </cell>
          <cell r="M82">
            <v>39661</v>
          </cell>
          <cell r="N82">
            <v>41121</v>
          </cell>
          <cell r="Q82" t="str">
            <v/>
          </cell>
          <cell r="R82" t="str">
            <v>PC</v>
          </cell>
          <cell r="S82" t="str">
            <v/>
          </cell>
          <cell r="T82" t="str">
            <v>加古川</v>
          </cell>
          <cell r="U82" t="str">
            <v>加古川工場</v>
          </cell>
          <cell r="V82" t="str">
            <v>カーボンテック</v>
          </cell>
          <cell r="W82" t="str">
            <v>東事務所</v>
          </cell>
          <cell r="X82" t="str">
            <v>佐藤　学</v>
          </cell>
          <cell r="Y82" t="str">
            <v>KNG4383</v>
          </cell>
          <cell r="Z82" t="str">
            <v/>
          </cell>
          <cell r="AA82" t="str">
            <v>モバイル</v>
          </cell>
          <cell r="AB82" t="str">
            <v>CF-R7</v>
          </cell>
          <cell r="AC82" t="str">
            <v>CF-R7CW5AXS</v>
          </cell>
          <cell r="AD82" t="str">
            <v>8DKSA26714</v>
          </cell>
          <cell r="AE82" t="str">
            <v>SHARP MX-4100FN</v>
          </cell>
          <cell r="AF82" t="str">
            <v>146.143.020.224</v>
          </cell>
          <cell r="AG82" t="str">
            <v>リコーImagio MPC3500</v>
          </cell>
          <cell r="AH82" t="str">
            <v>146.143.020.226</v>
          </cell>
          <cell r="AI82" t="str">
            <v/>
          </cell>
          <cell r="AJ82" t="str">
            <v/>
          </cell>
          <cell r="AK82" t="str">
            <v>WindowsXP(SP2)</v>
          </cell>
          <cell r="AL82" t="str">
            <v>CT</v>
          </cell>
          <cell r="AM82" t="str">
            <v/>
          </cell>
          <cell r="AN82" t="str">
            <v>146.143.001.001</v>
          </cell>
          <cell r="AO82" t="str">
            <v/>
          </cell>
          <cell r="AP82" t="str">
            <v/>
          </cell>
          <cell r="AQ82" t="str">
            <v>KNP3D055</v>
          </cell>
          <cell r="AR82" t="str">
            <v>CCIT</v>
          </cell>
          <cell r="AS82" t="str">
            <v/>
          </cell>
          <cell r="AT82" t="str">
            <v/>
          </cell>
          <cell r="AU82" t="str">
            <v/>
          </cell>
          <cell r="AV82" t="str">
            <v/>
          </cell>
          <cell r="AW82" t="str">
            <v/>
          </cell>
          <cell r="AX82" t="str">
            <v/>
          </cell>
          <cell r="AY82" t="str">
            <v/>
          </cell>
          <cell r="AZ82" t="str">
            <v/>
          </cell>
          <cell r="BA82">
            <v>37173</v>
          </cell>
          <cell r="BB82">
            <v>4680</v>
          </cell>
          <cell r="BD82" t="str">
            <v/>
          </cell>
          <cell r="BE82" t="str">
            <v>SafeBoot</v>
          </cell>
        </row>
        <row r="83">
          <cell r="F83">
            <v>61</v>
          </cell>
          <cell r="G83" t="str">
            <v>146.143.020.061</v>
          </cell>
          <cell r="H83" t="str">
            <v/>
          </cell>
          <cell r="I83" t="str">
            <v>RSI</v>
          </cell>
          <cell r="J83" t="str">
            <v/>
          </cell>
          <cell r="K83" t="str">
            <v/>
          </cell>
          <cell r="L83" t="str">
            <v>ﾊﾟﾅｿﾆｯｸﾒｰｶｰ保守</v>
          </cell>
          <cell r="M83">
            <v>39661</v>
          </cell>
          <cell r="N83">
            <v>41121</v>
          </cell>
          <cell r="Q83" t="str">
            <v/>
          </cell>
          <cell r="R83" t="str">
            <v>PC</v>
          </cell>
          <cell r="S83" t="str">
            <v/>
          </cell>
          <cell r="T83" t="str">
            <v>加古川</v>
          </cell>
          <cell r="U83" t="str">
            <v>加古川工場</v>
          </cell>
          <cell r="V83" t="str">
            <v>カーボンテック</v>
          </cell>
          <cell r="W83" t="str">
            <v>東事務所</v>
          </cell>
          <cell r="X83" t="str">
            <v>姥　政信</v>
          </cell>
          <cell r="Y83" t="str">
            <v>KNG4384</v>
          </cell>
          <cell r="Z83" t="str">
            <v/>
          </cell>
          <cell r="AA83" t="str">
            <v>モバイル</v>
          </cell>
          <cell r="AB83" t="str">
            <v>CF-R7</v>
          </cell>
          <cell r="AC83" t="str">
            <v>CF-R7CW5AXS</v>
          </cell>
          <cell r="AD83" t="str">
            <v>8DKSA26647</v>
          </cell>
          <cell r="AE83" t="str">
            <v>SHARP MX-4100FN</v>
          </cell>
          <cell r="AF83" t="str">
            <v>146.143.020.224</v>
          </cell>
          <cell r="AG83" t="str">
            <v>リコーImagio MPC3500</v>
          </cell>
          <cell r="AH83" t="str">
            <v>146.143.020.226</v>
          </cell>
          <cell r="AI83" t="str">
            <v/>
          </cell>
          <cell r="AJ83" t="str">
            <v/>
          </cell>
          <cell r="AK83" t="str">
            <v>WindowsXP(SP2)</v>
          </cell>
          <cell r="AL83" t="str">
            <v>CT</v>
          </cell>
          <cell r="AM83" t="str">
            <v/>
          </cell>
          <cell r="AN83" t="str">
            <v>146.143.001.001</v>
          </cell>
          <cell r="AO83" t="str">
            <v/>
          </cell>
          <cell r="AP83" t="str">
            <v/>
          </cell>
          <cell r="AQ83" t="str">
            <v>KNP3D061</v>
          </cell>
          <cell r="AR83" t="str">
            <v>CCIT</v>
          </cell>
          <cell r="AS83" t="str">
            <v/>
          </cell>
          <cell r="AT83" t="str">
            <v/>
          </cell>
          <cell r="AU83" t="str">
            <v/>
          </cell>
          <cell r="AV83" t="str">
            <v/>
          </cell>
          <cell r="AW83" t="str">
            <v/>
          </cell>
          <cell r="AX83" t="str">
            <v/>
          </cell>
          <cell r="AY83" t="str">
            <v/>
          </cell>
          <cell r="AZ83" t="str">
            <v/>
          </cell>
          <cell r="BB83">
            <v>4680</v>
          </cell>
          <cell r="BD83" t="str">
            <v/>
          </cell>
          <cell r="BE83" t="str">
            <v>SafeBoot</v>
          </cell>
        </row>
        <row r="84">
          <cell r="F84">
            <v>67</v>
          </cell>
          <cell r="G84" t="str">
            <v>146.143.020.049</v>
          </cell>
          <cell r="H84" t="str">
            <v/>
          </cell>
          <cell r="I84" t="str">
            <v>RSI</v>
          </cell>
          <cell r="J84" t="str">
            <v/>
          </cell>
          <cell r="K84" t="str">
            <v/>
          </cell>
          <cell r="L84" t="str">
            <v>第３者保守</v>
          </cell>
          <cell r="M84">
            <v>39661</v>
          </cell>
          <cell r="N84">
            <v>41121</v>
          </cell>
          <cell r="Q84" t="str">
            <v/>
          </cell>
          <cell r="R84" t="str">
            <v>PC</v>
          </cell>
          <cell r="S84" t="str">
            <v/>
          </cell>
          <cell r="T84" t="str">
            <v>加古川</v>
          </cell>
          <cell r="U84" t="str">
            <v>加古川工場</v>
          </cell>
          <cell r="V84" t="str">
            <v>カーボンテック</v>
          </cell>
          <cell r="W84" t="str">
            <v>東事務所</v>
          </cell>
          <cell r="X84" t="str">
            <v>薄衣　保幸</v>
          </cell>
          <cell r="Y84" t="str">
            <v>KNG4386</v>
          </cell>
          <cell r="Z84" t="str">
            <v/>
          </cell>
          <cell r="AA84" t="str">
            <v>モバイル</v>
          </cell>
          <cell r="AB84" t="str">
            <v>FMV-B8250</v>
          </cell>
          <cell r="AC84" t="str">
            <v>CP358901</v>
          </cell>
          <cell r="AD84" t="str">
            <v>R8303545</v>
          </cell>
          <cell r="AE84" t="str">
            <v>SHARP MX-4100FN</v>
          </cell>
          <cell r="AF84" t="str">
            <v>146.143.020.224</v>
          </cell>
          <cell r="AG84" t="str">
            <v>リコーImagio MPC3500</v>
          </cell>
          <cell r="AH84" t="str">
            <v>146.143.020.226</v>
          </cell>
          <cell r="AI84" t="str">
            <v/>
          </cell>
          <cell r="AJ84" t="str">
            <v/>
          </cell>
          <cell r="AK84" t="str">
            <v>WindowsXP(SP2)</v>
          </cell>
          <cell r="AL84" t="str">
            <v>CT</v>
          </cell>
          <cell r="AM84" t="str">
            <v/>
          </cell>
          <cell r="AN84" t="str">
            <v>146.143.001.001</v>
          </cell>
          <cell r="AO84" t="str">
            <v/>
          </cell>
          <cell r="AP84" t="str">
            <v/>
          </cell>
          <cell r="AQ84" t="str">
            <v>KNP3D049</v>
          </cell>
          <cell r="AR84" t="str">
            <v>CCIT</v>
          </cell>
          <cell r="AS84" t="str">
            <v/>
          </cell>
          <cell r="AT84" t="str">
            <v/>
          </cell>
          <cell r="AU84" t="str">
            <v/>
          </cell>
          <cell r="AV84" t="str">
            <v/>
          </cell>
          <cell r="AW84" t="str">
            <v/>
          </cell>
          <cell r="AX84" t="str">
            <v/>
          </cell>
          <cell r="AY84" t="str">
            <v/>
          </cell>
          <cell r="AZ84" t="str">
            <v/>
          </cell>
          <cell r="BB84">
            <v>3490</v>
          </cell>
          <cell r="BC84">
            <v>800</v>
          </cell>
          <cell r="BD84" t="str">
            <v/>
          </cell>
          <cell r="BE84" t="str">
            <v>SafeBoot</v>
          </cell>
        </row>
        <row r="85">
          <cell r="F85">
            <v>126</v>
          </cell>
          <cell r="G85" t="str">
            <v>201.255.011.115</v>
          </cell>
          <cell r="H85" t="str">
            <v/>
          </cell>
          <cell r="I85" t="str">
            <v>KN</v>
          </cell>
          <cell r="J85" t="str">
            <v/>
          </cell>
          <cell r="K85" t="str">
            <v>TG07P0078</v>
          </cell>
          <cell r="L85" t="str">
            <v>第３者保守</v>
          </cell>
          <cell r="M85">
            <v>39326</v>
          </cell>
          <cell r="N85">
            <v>40786</v>
          </cell>
          <cell r="Q85" t="str">
            <v/>
          </cell>
          <cell r="R85" t="str">
            <v>PC</v>
          </cell>
          <cell r="S85" t="str">
            <v>無線</v>
          </cell>
          <cell r="T85" t="str">
            <v>尼崎</v>
          </cell>
          <cell r="U85" t="str">
            <v>本社</v>
          </cell>
          <cell r="V85" t="str">
            <v>関西熱化学</v>
          </cell>
          <cell r="W85" t="str">
            <v>経理財務部</v>
          </cell>
          <cell r="X85" t="str">
            <v>小野　政信</v>
          </cell>
          <cell r="Y85" t="str">
            <v>KNG4402</v>
          </cell>
          <cell r="Z85" t="str">
            <v/>
          </cell>
          <cell r="AA85" t="str">
            <v>Safeboot</v>
          </cell>
          <cell r="AB85" t="str">
            <v>ThinkPad R60e</v>
          </cell>
          <cell r="AC85" t="str">
            <v>0658-BJ6</v>
          </cell>
          <cell r="AD85" t="str">
            <v>L3-GC466</v>
          </cell>
          <cell r="AE85" t="str">
            <v>リコーImagio MPC3500</v>
          </cell>
          <cell r="AF85" t="str">
            <v>201.255.011.030</v>
          </cell>
          <cell r="AG85" t="str">
            <v>リコーImagio MPC3000</v>
          </cell>
          <cell r="AH85" t="str">
            <v>201.255.011.027</v>
          </cell>
          <cell r="AI85" t="str">
            <v>リコーIpsio SP 6220</v>
          </cell>
          <cell r="AJ85" t="str">
            <v>201.255.011.029</v>
          </cell>
          <cell r="AK85" t="str">
            <v>WindowsXP(SP2)</v>
          </cell>
          <cell r="AL85" t="str">
            <v>KN-01</v>
          </cell>
          <cell r="AM85" t="str">
            <v>0016D3B84966</v>
          </cell>
          <cell r="AN85" t="str">
            <v>201.255.011.001</v>
          </cell>
          <cell r="AO85" t="str">
            <v>協同リース</v>
          </cell>
          <cell r="AP85" t="str">
            <v>A7820437</v>
          </cell>
          <cell r="AQ85" t="str">
            <v>KNG11115</v>
          </cell>
          <cell r="AR85" t="str">
            <v>CCIT</v>
          </cell>
          <cell r="AS85" t="str">
            <v/>
          </cell>
          <cell r="AT85" t="str">
            <v/>
          </cell>
          <cell r="AU85" t="str">
            <v/>
          </cell>
          <cell r="AV85" t="str">
            <v/>
          </cell>
          <cell r="AW85" t="str">
            <v/>
          </cell>
          <cell r="AX85" t="str">
            <v/>
          </cell>
          <cell r="AY85" t="str">
            <v/>
          </cell>
          <cell r="AZ85" t="str">
            <v>変動費・原料炭費は経理財務部全員が使用</v>
          </cell>
          <cell r="BC85">
            <v>800</v>
          </cell>
          <cell r="BD85" t="str">
            <v/>
          </cell>
          <cell r="BE85" t="str">
            <v>SafeBoot</v>
          </cell>
        </row>
        <row r="86">
          <cell r="F86">
            <v>31</v>
          </cell>
          <cell r="G86" t="str">
            <v>201.255.011.081</v>
          </cell>
          <cell r="H86" t="str">
            <v/>
          </cell>
          <cell r="I86" t="str">
            <v>KN</v>
          </cell>
          <cell r="J86" t="str">
            <v/>
          </cell>
          <cell r="K86" t="str">
            <v>TG07P0028</v>
          </cell>
          <cell r="L86" t="str">
            <v>第３者保守</v>
          </cell>
          <cell r="M86">
            <v>39173</v>
          </cell>
          <cell r="N86">
            <v>40633</v>
          </cell>
          <cell r="Q86" t="str">
            <v/>
          </cell>
          <cell r="R86" t="str">
            <v>PC</v>
          </cell>
          <cell r="S86" t="str">
            <v>無線</v>
          </cell>
          <cell r="T86" t="str">
            <v>尼崎</v>
          </cell>
          <cell r="U86" t="str">
            <v>本社</v>
          </cell>
          <cell r="V86" t="str">
            <v>関西熱化学</v>
          </cell>
          <cell r="W86" t="str">
            <v>経理財務部</v>
          </cell>
          <cell r="X86" t="str">
            <v>今田　　正俊</v>
          </cell>
          <cell r="Y86" t="str">
            <v>KNG4416</v>
          </cell>
          <cell r="Z86" t="str">
            <v/>
          </cell>
          <cell r="AA86" t="str">
            <v>Safeboot</v>
          </cell>
          <cell r="AB86" t="str">
            <v>ThinkPad R60e</v>
          </cell>
          <cell r="AC86" t="str">
            <v>0658-AJ5</v>
          </cell>
          <cell r="AD86" t="str">
            <v>L3-CT244</v>
          </cell>
          <cell r="AE86" t="str">
            <v>リコーImagio MPC3500</v>
          </cell>
          <cell r="AF86" t="str">
            <v>201.255.011.030</v>
          </cell>
          <cell r="AG86" t="str">
            <v>リコーImagio MPC3000</v>
          </cell>
          <cell r="AH86" t="str">
            <v>201.255.011.027</v>
          </cell>
          <cell r="AI86" t="str">
            <v>リコーIpsio SP 6220</v>
          </cell>
          <cell r="AJ86" t="str">
            <v>201.255.011.029</v>
          </cell>
          <cell r="AK86" t="str">
            <v>WindowsXP(SP2)</v>
          </cell>
          <cell r="AL86" t="str">
            <v>KN-01</v>
          </cell>
          <cell r="AM86" t="str">
            <v>0016D3346ACF</v>
          </cell>
          <cell r="AN86" t="str">
            <v>201.255.011.001</v>
          </cell>
          <cell r="AO86" t="str">
            <v>ｾﾝﾁｭﾘｰ・ﾘｰｼﾝｸﾞ・ｼｽﾃﾑ</v>
          </cell>
          <cell r="AP86" t="str">
            <v>L07048701</v>
          </cell>
          <cell r="AQ86" t="str">
            <v>KNG11081</v>
          </cell>
          <cell r="AR86" t="str">
            <v>CCIT</v>
          </cell>
          <cell r="AS86" t="str">
            <v/>
          </cell>
          <cell r="AT86" t="str">
            <v/>
          </cell>
          <cell r="AU86" t="str">
            <v/>
          </cell>
          <cell r="AV86" t="str">
            <v/>
          </cell>
          <cell r="AW86" t="str">
            <v/>
          </cell>
          <cell r="AX86" t="str">
            <v/>
          </cell>
          <cell r="AY86" t="str">
            <v/>
          </cell>
          <cell r="AZ86" t="str">
            <v>変動費・原料炭費は経理財務部全員が使用</v>
          </cell>
          <cell r="BC86">
            <v>800</v>
          </cell>
          <cell r="BD86" t="str">
            <v/>
          </cell>
          <cell r="BE86" t="str">
            <v>SafeBoot</v>
          </cell>
        </row>
        <row r="87">
          <cell r="F87">
            <v>16</v>
          </cell>
          <cell r="G87" t="str">
            <v>192.168.021.043</v>
          </cell>
          <cell r="H87" t="str">
            <v/>
          </cell>
          <cell r="I87" t="str">
            <v>KN</v>
          </cell>
          <cell r="J87" t="str">
            <v>有償</v>
          </cell>
          <cell r="K87" t="str">
            <v>TG07P0070</v>
          </cell>
          <cell r="L87" t="str">
            <v>ﾊﾟﾅｿﾆｯｸﾒｰｶｰ保守</v>
          </cell>
          <cell r="M87">
            <v>39295</v>
          </cell>
          <cell r="N87">
            <v>40755</v>
          </cell>
          <cell r="Q87" t="str">
            <v/>
          </cell>
          <cell r="R87" t="str">
            <v>PC</v>
          </cell>
          <cell r="S87" t="str">
            <v/>
          </cell>
          <cell r="T87" t="str">
            <v>大阪</v>
          </cell>
          <cell r="U87" t="str">
            <v>大阪工場</v>
          </cell>
          <cell r="V87" t="str">
            <v>大阪化成</v>
          </cell>
          <cell r="W87" t="str">
            <v>技術部</v>
          </cell>
          <cell r="X87" t="str">
            <v>斎藤　俊</v>
          </cell>
          <cell r="Y87" t="str">
            <v>KNG4422</v>
          </cell>
          <cell r="Z87" t="str">
            <v/>
          </cell>
          <cell r="AA87" t="str">
            <v>モバイル</v>
          </cell>
          <cell r="AB87" t="str">
            <v>CF-R6</v>
          </cell>
          <cell r="AC87" t="str">
            <v>CF-R6MW4AXS</v>
          </cell>
          <cell r="AD87" t="str">
            <v>7EKSA18350</v>
          </cell>
          <cell r="AE87" t="str">
            <v>リコーIpsio NX860e</v>
          </cell>
          <cell r="AF87" t="str">
            <v>192.168.021.204</v>
          </cell>
          <cell r="AG87" t="str">
            <v>リコーIpsio GX3000</v>
          </cell>
          <cell r="AH87" t="str">
            <v>192.168.021.207</v>
          </cell>
          <cell r="AI87" t="str">
            <v/>
          </cell>
          <cell r="AJ87" t="str">
            <v/>
          </cell>
          <cell r="AK87" t="str">
            <v>WindowsXP(SP2)</v>
          </cell>
          <cell r="AL87" t="str">
            <v>KN-01</v>
          </cell>
          <cell r="AM87" t="str">
            <v/>
          </cell>
          <cell r="AN87" t="str">
            <v>192.168.001.001</v>
          </cell>
          <cell r="AO87" t="str">
            <v>ｾﾝﾁｭﾘｰ・ﾘｰｼﾝｸﾞ・ｼｽﾃﾑ</v>
          </cell>
          <cell r="AP87" t="str">
            <v>L07078935</v>
          </cell>
          <cell r="AQ87" t="str">
            <v>KNG21043</v>
          </cell>
          <cell r="AR87" t="str">
            <v>CCIT</v>
          </cell>
          <cell r="AS87" t="str">
            <v/>
          </cell>
          <cell r="AT87" t="str">
            <v/>
          </cell>
          <cell r="AU87" t="str">
            <v/>
          </cell>
          <cell r="AV87" t="str">
            <v/>
          </cell>
          <cell r="AW87" t="str">
            <v/>
          </cell>
          <cell r="AX87" t="str">
            <v/>
          </cell>
          <cell r="AY87" t="str">
            <v/>
          </cell>
          <cell r="AZ87" t="str">
            <v>液晶ディスプレイ：ナナオ FlexScan S1701-STBK　USB 2.0対応 マルチディスプレイアダプタ（SXGA対応モデル）：Logitec LDE-SX010U　共に大阪化成様で購入、2009/09設置。090-3485-5527</v>
          </cell>
          <cell r="BA87">
            <v>40228</v>
          </cell>
          <cell r="BB87">
            <v>5017</v>
          </cell>
          <cell r="BD87" t="str">
            <v/>
          </cell>
          <cell r="BE87" t="str">
            <v>SafeBoot</v>
          </cell>
        </row>
        <row r="88">
          <cell r="F88">
            <v>121</v>
          </cell>
          <cell r="G88" t="str">
            <v>201.255.011.122</v>
          </cell>
          <cell r="H88" t="str">
            <v/>
          </cell>
          <cell r="I88" t="str">
            <v>KN</v>
          </cell>
          <cell r="J88" t="str">
            <v/>
          </cell>
          <cell r="K88" t="str">
            <v>TG07P0086</v>
          </cell>
          <cell r="L88" t="str">
            <v>第３者保守</v>
          </cell>
          <cell r="M88">
            <v>39356</v>
          </cell>
          <cell r="N88">
            <v>40816</v>
          </cell>
          <cell r="Q88" t="str">
            <v/>
          </cell>
          <cell r="R88" t="str">
            <v>PC</v>
          </cell>
          <cell r="S88" t="str">
            <v>無線</v>
          </cell>
          <cell r="T88" t="str">
            <v>尼崎</v>
          </cell>
          <cell r="U88" t="str">
            <v>本社</v>
          </cell>
          <cell r="V88" t="str">
            <v>関西熱化学</v>
          </cell>
          <cell r="W88" t="str">
            <v>ＣＳＲ推進部</v>
          </cell>
          <cell r="X88" t="str">
            <v>平川　操</v>
          </cell>
          <cell r="Y88" t="str">
            <v>KNG4428</v>
          </cell>
          <cell r="Z88" t="str">
            <v/>
          </cell>
          <cell r="AA88" t="str">
            <v>Safeboot</v>
          </cell>
          <cell r="AB88" t="str">
            <v>ThinkPad R60e</v>
          </cell>
          <cell r="AC88" t="str">
            <v>0658-BJ6</v>
          </cell>
          <cell r="AD88" t="str">
            <v>L3-GC401</v>
          </cell>
          <cell r="AE88" t="str">
            <v>リコーImagio MPC3500</v>
          </cell>
          <cell r="AF88" t="str">
            <v>201.255.011.030</v>
          </cell>
          <cell r="AG88" t="str">
            <v>リコーImagio MPC3000</v>
          </cell>
          <cell r="AH88" t="str">
            <v>201.255.011.027</v>
          </cell>
          <cell r="AI88" t="str">
            <v/>
          </cell>
          <cell r="AJ88" t="str">
            <v/>
          </cell>
          <cell r="AK88" t="str">
            <v>WindowsXP(SP2)</v>
          </cell>
          <cell r="AL88" t="str">
            <v>KN-01</v>
          </cell>
          <cell r="AM88" t="str">
            <v>0016D3B849C8</v>
          </cell>
          <cell r="AN88" t="str">
            <v>201.255.011.001</v>
          </cell>
          <cell r="AO88" t="str">
            <v>ｾﾝﾁｭﾘｰ・ﾘｰｼﾝｸﾞ・ｼｽﾃﾑ</v>
          </cell>
          <cell r="AP88" t="str">
            <v>L07107062</v>
          </cell>
          <cell r="AQ88" t="str">
            <v>KNG11122</v>
          </cell>
          <cell r="AR88" t="str">
            <v>CCIT</v>
          </cell>
          <cell r="AS88" t="str">
            <v/>
          </cell>
          <cell r="AT88" t="str">
            <v/>
          </cell>
          <cell r="AU88" t="str">
            <v/>
          </cell>
          <cell r="AV88" t="str">
            <v/>
          </cell>
          <cell r="AW88" t="str">
            <v/>
          </cell>
          <cell r="AX88" t="str">
            <v/>
          </cell>
          <cell r="AY88" t="str">
            <v/>
          </cell>
          <cell r="AZ88" t="str">
            <v/>
          </cell>
          <cell r="BC88">
            <v>800</v>
          </cell>
          <cell r="BD88" t="str">
            <v/>
          </cell>
          <cell r="BE88" t="str">
            <v>SafeBoot</v>
          </cell>
        </row>
        <row r="89">
          <cell r="F89">
            <v>29</v>
          </cell>
          <cell r="G89" t="str">
            <v>201.255.011.086</v>
          </cell>
          <cell r="H89" t="str">
            <v/>
          </cell>
          <cell r="I89" t="str">
            <v>KN</v>
          </cell>
          <cell r="J89" t="str">
            <v/>
          </cell>
          <cell r="K89" t="str">
            <v>TG07P0028</v>
          </cell>
          <cell r="L89" t="str">
            <v>第３者保守</v>
          </cell>
          <cell r="M89">
            <v>39173</v>
          </cell>
          <cell r="N89">
            <v>40633</v>
          </cell>
          <cell r="Q89" t="str">
            <v/>
          </cell>
          <cell r="R89" t="str">
            <v>PC</v>
          </cell>
          <cell r="S89" t="str">
            <v>無線</v>
          </cell>
          <cell r="T89" t="str">
            <v>尼崎</v>
          </cell>
          <cell r="U89" t="str">
            <v>本社</v>
          </cell>
          <cell r="V89" t="str">
            <v>関西熱化学</v>
          </cell>
          <cell r="W89" t="str">
            <v>経営企画部　企画</v>
          </cell>
          <cell r="X89" t="str">
            <v>前村　美津義</v>
          </cell>
          <cell r="Y89" t="str">
            <v>KNG4446</v>
          </cell>
          <cell r="Z89" t="str">
            <v/>
          </cell>
          <cell r="AA89" t="str">
            <v>Safeboot</v>
          </cell>
          <cell r="AB89" t="str">
            <v>ThinkPad R60e</v>
          </cell>
          <cell r="AC89" t="str">
            <v>0658-AJ5</v>
          </cell>
          <cell r="AD89" t="str">
            <v>L3-CT251</v>
          </cell>
          <cell r="AE89" t="str">
            <v>リコーImagio MPC3500</v>
          </cell>
          <cell r="AF89" t="str">
            <v>201.255.011.030</v>
          </cell>
          <cell r="AG89" t="str">
            <v>リコーImagio MPC3000</v>
          </cell>
          <cell r="AH89" t="str">
            <v>201.255.011.027</v>
          </cell>
          <cell r="AI89" t="str">
            <v/>
          </cell>
          <cell r="AJ89" t="str">
            <v/>
          </cell>
          <cell r="AK89" t="str">
            <v>WindowsXP(SP2)</v>
          </cell>
          <cell r="AL89" t="str">
            <v>KN-01</v>
          </cell>
          <cell r="AM89" t="str">
            <v>0016D334652D</v>
          </cell>
          <cell r="AN89" t="str">
            <v>201.255.011.001</v>
          </cell>
          <cell r="AO89" t="str">
            <v>ｾﾝﾁｭﾘｰ・ﾘｰｼﾝｸﾞ・ｼｽﾃﾑ</v>
          </cell>
          <cell r="AP89" t="str">
            <v>L07048701</v>
          </cell>
          <cell r="AQ89" t="str">
            <v>KNG11086</v>
          </cell>
          <cell r="AR89" t="str">
            <v>CCIT</v>
          </cell>
          <cell r="AS89" t="str">
            <v/>
          </cell>
          <cell r="AT89" t="str">
            <v/>
          </cell>
          <cell r="AU89" t="str">
            <v/>
          </cell>
          <cell r="AV89" t="str">
            <v/>
          </cell>
          <cell r="AW89" t="str">
            <v/>
          </cell>
          <cell r="AX89" t="str">
            <v/>
          </cell>
          <cell r="AY89" t="str">
            <v/>
          </cell>
          <cell r="AZ89" t="str">
            <v/>
          </cell>
          <cell r="BC89">
            <v>800</v>
          </cell>
          <cell r="BD89" t="str">
            <v/>
          </cell>
          <cell r="BE89" t="str">
            <v>SafeBoot</v>
          </cell>
        </row>
        <row r="90">
          <cell r="F90">
            <v>95</v>
          </cell>
          <cell r="G90" t="str">
            <v>201.255.061.089</v>
          </cell>
          <cell r="H90" t="str">
            <v/>
          </cell>
          <cell r="I90" t="str">
            <v>RSI</v>
          </cell>
          <cell r="J90" t="str">
            <v/>
          </cell>
          <cell r="K90" t="str">
            <v/>
          </cell>
          <cell r="L90" t="str">
            <v>ﾊﾟﾅｿﾆｯｸﾒｰｶｰ保守</v>
          </cell>
          <cell r="M90">
            <v>39814</v>
          </cell>
          <cell r="N90">
            <v>41274</v>
          </cell>
          <cell r="Q90" t="str">
            <v/>
          </cell>
          <cell r="R90" t="str">
            <v>PC</v>
          </cell>
          <cell r="S90" t="str">
            <v/>
          </cell>
          <cell r="T90" t="str">
            <v>尼崎</v>
          </cell>
          <cell r="U90" t="str">
            <v>研究開発センター</v>
          </cell>
          <cell r="V90" t="str">
            <v>ＫＮラボアナリシス</v>
          </cell>
          <cell r="W90" t="str">
            <v>分析事業部</v>
          </cell>
          <cell r="X90" t="str">
            <v>聖山　光政</v>
          </cell>
          <cell r="Y90" t="str">
            <v>KNG4447</v>
          </cell>
          <cell r="Z90" t="str">
            <v/>
          </cell>
          <cell r="AA90" t="str">
            <v>モバイル</v>
          </cell>
          <cell r="AB90" t="str">
            <v>CF-R7</v>
          </cell>
          <cell r="AC90" t="str">
            <v>CF-R7CW5AXS</v>
          </cell>
          <cell r="AD90" t="str">
            <v>8DKSA27281</v>
          </cell>
          <cell r="AE90" t="str">
            <v>リコーImagio Neo 453</v>
          </cell>
          <cell r="AF90" t="str">
            <v>201.255.061.032</v>
          </cell>
          <cell r="AG90" t="str">
            <v>リコーImagio Neo C285</v>
          </cell>
          <cell r="AH90" t="str">
            <v>201.255.061.030</v>
          </cell>
          <cell r="AI90" t="str">
            <v/>
          </cell>
          <cell r="AJ90" t="str">
            <v/>
          </cell>
          <cell r="AK90" t="str">
            <v>WindowsXP(SP2)</v>
          </cell>
          <cell r="AL90" t="str">
            <v>KNL-02</v>
          </cell>
          <cell r="AM90" t="str">
            <v/>
          </cell>
          <cell r="AN90" t="str">
            <v>201.255.061.001</v>
          </cell>
          <cell r="AO90" t="str">
            <v/>
          </cell>
          <cell r="AP90" t="str">
            <v/>
          </cell>
          <cell r="AQ90" t="str">
            <v>KNG61089</v>
          </cell>
          <cell r="AR90" t="str">
            <v>CCIT</v>
          </cell>
          <cell r="AS90" t="str">
            <v/>
          </cell>
          <cell r="AT90" t="str">
            <v/>
          </cell>
          <cell r="AU90" t="str">
            <v/>
          </cell>
          <cell r="AV90" t="str">
            <v/>
          </cell>
          <cell r="AW90" t="str">
            <v/>
          </cell>
          <cell r="AX90" t="str">
            <v/>
          </cell>
          <cell r="AY90" t="str">
            <v/>
          </cell>
          <cell r="AZ90" t="str">
            <v>・モニター　：サムスン17型液晶ﾓﾆﾀｰ　743APLUS(BK) ・キーボード：Ultra-Flat Keyboard iK-40DS (ダークシャイン)（Logicool [Logitec]）</v>
          </cell>
          <cell r="BA90">
            <v>44751</v>
          </cell>
          <cell r="BB90">
            <v>4690</v>
          </cell>
          <cell r="BD90" t="str">
            <v/>
          </cell>
          <cell r="BE90" t="str">
            <v>SafeBoot</v>
          </cell>
        </row>
        <row r="91">
          <cell r="F91">
            <v>68</v>
          </cell>
          <cell r="G91" t="str">
            <v>201.255.011.104</v>
          </cell>
          <cell r="H91" t="str">
            <v/>
          </cell>
          <cell r="I91" t="str">
            <v>KN</v>
          </cell>
          <cell r="J91" t="str">
            <v/>
          </cell>
          <cell r="K91" t="str">
            <v>TG07P0097</v>
          </cell>
          <cell r="L91" t="str">
            <v>第３者保守</v>
          </cell>
          <cell r="M91">
            <v>39387</v>
          </cell>
          <cell r="N91">
            <v>40847</v>
          </cell>
          <cell r="Q91" t="str">
            <v/>
          </cell>
          <cell r="R91" t="str">
            <v>PC</v>
          </cell>
          <cell r="S91" t="str">
            <v>無線</v>
          </cell>
          <cell r="T91" t="str">
            <v>尼崎</v>
          </cell>
          <cell r="U91" t="str">
            <v>本社</v>
          </cell>
          <cell r="V91" t="str">
            <v>関西熱化学</v>
          </cell>
          <cell r="W91" t="str">
            <v>総務人事部</v>
          </cell>
          <cell r="X91" t="str">
            <v>橋本　弘</v>
          </cell>
          <cell r="Y91" t="str">
            <v>KNG4448</v>
          </cell>
          <cell r="Z91" t="str">
            <v/>
          </cell>
          <cell r="AA91" t="str">
            <v>Safeboot</v>
          </cell>
          <cell r="AB91" t="str">
            <v>ThinkPad R60e</v>
          </cell>
          <cell r="AC91" t="str">
            <v>0658-BJ6</v>
          </cell>
          <cell r="AD91" t="str">
            <v>L3-GC445</v>
          </cell>
          <cell r="AE91" t="str">
            <v>リコーImagio MPC3500</v>
          </cell>
          <cell r="AF91" t="str">
            <v>201.255.011.030</v>
          </cell>
          <cell r="AG91" t="str">
            <v>リコーImagio MPC3000</v>
          </cell>
          <cell r="AH91" t="str">
            <v>201.255.011.027</v>
          </cell>
          <cell r="AI91" t="str">
            <v/>
          </cell>
          <cell r="AJ91" t="str">
            <v/>
          </cell>
          <cell r="AK91" t="str">
            <v>WindowsXP(SP2)</v>
          </cell>
          <cell r="AL91" t="str">
            <v>KN-01</v>
          </cell>
          <cell r="AM91" t="str">
            <v/>
          </cell>
          <cell r="AN91" t="str">
            <v>201.255.011.001</v>
          </cell>
          <cell r="AO91" t="str">
            <v>協同リース</v>
          </cell>
          <cell r="AP91" t="str">
            <v>A7820604</v>
          </cell>
          <cell r="AQ91" t="str">
            <v>KNG11104</v>
          </cell>
          <cell r="AR91" t="str">
            <v>CCIT</v>
          </cell>
          <cell r="AS91" t="str">
            <v/>
          </cell>
          <cell r="AT91" t="str">
            <v/>
          </cell>
          <cell r="AU91" t="str">
            <v/>
          </cell>
          <cell r="AV91" t="str">
            <v/>
          </cell>
          <cell r="AW91" t="str">
            <v/>
          </cell>
          <cell r="AX91" t="str">
            <v/>
          </cell>
          <cell r="AY91" t="str">
            <v/>
          </cell>
          <cell r="AZ91" t="str">
            <v/>
          </cell>
          <cell r="BC91">
            <v>800</v>
          </cell>
          <cell r="BD91" t="str">
            <v/>
          </cell>
          <cell r="BE91" t="str">
            <v>SafeBoot</v>
          </cell>
        </row>
        <row r="92">
          <cell r="F92">
            <v>79</v>
          </cell>
          <cell r="G92" t="str">
            <v>201.255.061.153</v>
          </cell>
          <cell r="H92" t="str">
            <v/>
          </cell>
          <cell r="I92" t="str">
            <v>KN</v>
          </cell>
          <cell r="J92" t="str">
            <v>有償</v>
          </cell>
          <cell r="K92" t="str">
            <v>TG07P0101</v>
          </cell>
          <cell r="L92" t="str">
            <v>ﾊﾟﾅｿﾆｯｸﾒｰｶｰ保守</v>
          </cell>
          <cell r="M92">
            <v>39417</v>
          </cell>
          <cell r="N92">
            <v>40877</v>
          </cell>
          <cell r="Q92" t="str">
            <v/>
          </cell>
          <cell r="R92" t="str">
            <v>PC</v>
          </cell>
          <cell r="S92" t="str">
            <v/>
          </cell>
          <cell r="T92" t="str">
            <v>尼崎</v>
          </cell>
          <cell r="U92" t="str">
            <v>研究開発センター</v>
          </cell>
          <cell r="V92" t="str">
            <v>カーボンテック</v>
          </cell>
          <cell r="W92" t="str">
            <v>ｶｰﾎﾞﾝﾃｯｸ機能材事業部</v>
          </cell>
          <cell r="X92" t="str">
            <v>天能　浩次郎</v>
          </cell>
          <cell r="Y92" t="str">
            <v>KNG4452</v>
          </cell>
          <cell r="Z92" t="str">
            <v/>
          </cell>
          <cell r="AA92" t="str">
            <v>モバイル</v>
          </cell>
          <cell r="AB92" t="str">
            <v>CF-R6</v>
          </cell>
          <cell r="AC92" t="str">
            <v>CF-R6AW1AXS</v>
          </cell>
          <cell r="AD92" t="str">
            <v>7IKSA37414</v>
          </cell>
          <cell r="AE92" t="str">
            <v>リコーIpsio SP C820</v>
          </cell>
          <cell r="AF92" t="str">
            <v>201.255.061.027</v>
          </cell>
          <cell r="AG92" t="str">
            <v>リコーImagio MPC3000</v>
          </cell>
          <cell r="AH92" t="str">
            <v>201.255.061.033</v>
          </cell>
          <cell r="AI92" t="str">
            <v/>
          </cell>
          <cell r="AJ92" t="str">
            <v/>
          </cell>
          <cell r="AK92" t="str">
            <v>WindowsXP(SP2)</v>
          </cell>
          <cell r="AL92" t="str">
            <v>KN-02</v>
          </cell>
          <cell r="AM92" t="str">
            <v/>
          </cell>
          <cell r="AN92" t="str">
            <v>201.255.061.001</v>
          </cell>
          <cell r="AO92" t="str">
            <v>興銀リース</v>
          </cell>
          <cell r="AP92" t="str">
            <v>07-412607</v>
          </cell>
          <cell r="AQ92" t="str">
            <v>KNG61153</v>
          </cell>
          <cell r="AR92" t="str">
            <v>CCIT</v>
          </cell>
          <cell r="AS92" t="str">
            <v/>
          </cell>
          <cell r="AT92" t="str">
            <v/>
          </cell>
          <cell r="AU92" t="str">
            <v/>
          </cell>
          <cell r="AV92" t="str">
            <v/>
          </cell>
          <cell r="AW92" t="str">
            <v/>
          </cell>
          <cell r="AX92" t="str">
            <v/>
          </cell>
          <cell r="AY92" t="str">
            <v/>
          </cell>
          <cell r="AZ92" t="str">
            <v/>
          </cell>
          <cell r="BB92">
            <v>4439</v>
          </cell>
          <cell r="BD92" t="str">
            <v/>
          </cell>
          <cell r="BE92" t="str">
            <v>SafeBoot</v>
          </cell>
        </row>
        <row r="93">
          <cell r="F93">
            <v>57</v>
          </cell>
          <cell r="G93" t="str">
            <v>146.143.010.085</v>
          </cell>
          <cell r="H93" t="str">
            <v/>
          </cell>
          <cell r="I93" t="str">
            <v>KN</v>
          </cell>
          <cell r="J93" t="str">
            <v/>
          </cell>
          <cell r="K93" t="str">
            <v>TG07P0083</v>
          </cell>
          <cell r="L93" t="str">
            <v>第３者保守</v>
          </cell>
          <cell r="M93">
            <v>39356</v>
          </cell>
          <cell r="N93">
            <v>40816</v>
          </cell>
          <cell r="Q93" t="str">
            <v/>
          </cell>
          <cell r="R93" t="str">
            <v>PC</v>
          </cell>
          <cell r="S93" t="str">
            <v/>
          </cell>
          <cell r="T93" t="str">
            <v>加古川</v>
          </cell>
          <cell r="U93" t="str">
            <v>加古川工場</v>
          </cell>
          <cell r="V93" t="str">
            <v>関西熱化学</v>
          </cell>
          <cell r="W93" t="str">
            <v>生産センター　ガス課</v>
          </cell>
          <cell r="X93" t="str">
            <v>岩永　高幸</v>
          </cell>
          <cell r="Y93" t="str">
            <v>KNG4476</v>
          </cell>
          <cell r="Z93" t="str">
            <v/>
          </cell>
          <cell r="AA93" t="str">
            <v>モバイル</v>
          </cell>
          <cell r="AB93" t="str">
            <v>ThinkPad X60s</v>
          </cell>
          <cell r="AC93" t="str">
            <v>1720-EJ2</v>
          </cell>
          <cell r="AD93" t="str">
            <v>LV-M1379</v>
          </cell>
          <cell r="AE93" t="str">
            <v>リコーIpsio SP C820</v>
          </cell>
          <cell r="AF93" t="str">
            <v>146.143.010.221</v>
          </cell>
          <cell r="AG93" t="str">
            <v>リコーImagio MPC4000</v>
          </cell>
          <cell r="AH93" t="str">
            <v>146.143.010.227</v>
          </cell>
          <cell r="AI93" t="str">
            <v>リコーImagio MPC2800</v>
          </cell>
          <cell r="AJ93" t="str">
            <v>146.143.010.233</v>
          </cell>
          <cell r="AK93" t="str">
            <v>WindowsXP(SP2)</v>
          </cell>
          <cell r="AL93" t="str">
            <v>KN-03</v>
          </cell>
          <cell r="AM93" t="str">
            <v>0016D3BB6FCA</v>
          </cell>
          <cell r="AN93" t="str">
            <v>146.143.001.001</v>
          </cell>
          <cell r="AO93" t="str">
            <v>興銀リース</v>
          </cell>
          <cell r="AP93" t="str">
            <v>07-411372</v>
          </cell>
          <cell r="AQ93" t="str">
            <v>KNP3B085</v>
          </cell>
          <cell r="AR93" t="str">
            <v>CCIT</v>
          </cell>
          <cell r="AS93" t="str">
            <v/>
          </cell>
          <cell r="AT93" t="str">
            <v/>
          </cell>
          <cell r="AU93" t="str">
            <v/>
          </cell>
          <cell r="AV93" t="str">
            <v/>
          </cell>
          <cell r="AW93" t="str">
            <v/>
          </cell>
          <cell r="AX93" t="str">
            <v/>
          </cell>
          <cell r="AY93" t="str">
            <v/>
          </cell>
          <cell r="AZ93" t="str">
            <v>2009/11/11　バッテリー新しいものと交換</v>
          </cell>
          <cell r="BC93">
            <v>800</v>
          </cell>
          <cell r="BD93" t="str">
            <v/>
          </cell>
          <cell r="BE93" t="str">
            <v>SafeBoot</v>
          </cell>
        </row>
        <row r="94">
          <cell r="F94">
            <v>21</v>
          </cell>
          <cell r="G94" t="str">
            <v>201.255.011.100</v>
          </cell>
          <cell r="H94" t="str">
            <v/>
          </cell>
          <cell r="I94" t="str">
            <v>KN</v>
          </cell>
          <cell r="J94" t="str">
            <v/>
          </cell>
          <cell r="K94" t="str">
            <v>TG07P0101</v>
          </cell>
          <cell r="L94" t="str">
            <v>ﾊﾟﾅｿﾆｯｸﾒｰｶｰ保守</v>
          </cell>
          <cell r="M94">
            <v>39417</v>
          </cell>
          <cell r="N94">
            <v>40877</v>
          </cell>
          <cell r="Q94" t="str">
            <v/>
          </cell>
          <cell r="R94" t="str">
            <v>PC</v>
          </cell>
          <cell r="S94" t="str">
            <v>無線</v>
          </cell>
          <cell r="T94" t="str">
            <v>尼崎</v>
          </cell>
          <cell r="U94" t="str">
            <v>本社</v>
          </cell>
          <cell r="V94" t="str">
            <v>関西熱化学</v>
          </cell>
          <cell r="W94" t="str">
            <v>総務人事部</v>
          </cell>
          <cell r="X94" t="str">
            <v>平島　剛</v>
          </cell>
          <cell r="Y94" t="str">
            <v>KNG4477</v>
          </cell>
          <cell r="Z94" t="str">
            <v/>
          </cell>
          <cell r="AA94" t="str">
            <v>モバイル</v>
          </cell>
          <cell r="AB94" t="str">
            <v>CF-R6</v>
          </cell>
          <cell r="AC94" t="str">
            <v>CF-R6AW1AXS</v>
          </cell>
          <cell r="AD94" t="str">
            <v>7JKSA38182</v>
          </cell>
          <cell r="AE94" t="str">
            <v>リコーImagio MPC3000</v>
          </cell>
          <cell r="AF94" t="str">
            <v>201.255.011.024</v>
          </cell>
          <cell r="AG94" t="str">
            <v/>
          </cell>
          <cell r="AH94" t="str">
            <v/>
          </cell>
          <cell r="AI94" t="str">
            <v/>
          </cell>
          <cell r="AJ94" t="str">
            <v/>
          </cell>
          <cell r="AK94" t="str">
            <v>WindowsXP(SP2)</v>
          </cell>
          <cell r="AL94" t="str">
            <v>KN-01</v>
          </cell>
          <cell r="AM94" t="str">
            <v/>
          </cell>
          <cell r="AN94" t="str">
            <v>201.255.011.001</v>
          </cell>
          <cell r="AO94" t="str">
            <v>興銀リース</v>
          </cell>
          <cell r="AP94" t="str">
            <v>07-412607</v>
          </cell>
          <cell r="AQ94" t="str">
            <v>KNG11100</v>
          </cell>
          <cell r="AR94" t="str">
            <v>CCIT</v>
          </cell>
          <cell r="AS94" t="str">
            <v/>
          </cell>
          <cell r="AT94" t="str">
            <v/>
          </cell>
          <cell r="AU94" t="str">
            <v/>
          </cell>
          <cell r="AV94" t="str">
            <v/>
          </cell>
          <cell r="AW94" t="str">
            <v/>
          </cell>
          <cell r="AX94" t="str">
            <v/>
          </cell>
          <cell r="AY94" t="str">
            <v/>
          </cell>
          <cell r="AZ94" t="str">
            <v>モニター　：サムスン17型液晶ﾓﾆﾀｰ　743APLUS(BK) 、キーボード：ﾛｼﾞｸｰﾙ ｸﾗｼｯｸｷｰﾎﾞｰﾄﾞ 200 iK-21WH</v>
          </cell>
          <cell r="BA94">
            <v>47308</v>
          </cell>
          <cell r="BB94">
            <v>4439</v>
          </cell>
          <cell r="BD94" t="str">
            <v/>
          </cell>
          <cell r="BE94" t="str">
            <v>SafeBoot</v>
          </cell>
        </row>
        <row r="95">
          <cell r="F95">
            <v>71</v>
          </cell>
          <cell r="G95" t="str">
            <v>201.255.011.084</v>
          </cell>
          <cell r="H95" t="str">
            <v/>
          </cell>
          <cell r="I95" t="str">
            <v>RSI</v>
          </cell>
          <cell r="J95" t="str">
            <v/>
          </cell>
          <cell r="K95" t="str">
            <v/>
          </cell>
          <cell r="L95" t="str">
            <v>ﾊﾟﾅｿﾆｯｸﾒｰｶｰ保守</v>
          </cell>
          <cell r="M95">
            <v>39630</v>
          </cell>
          <cell r="N95">
            <v>41090</v>
          </cell>
          <cell r="Q95" t="str">
            <v/>
          </cell>
          <cell r="R95" t="str">
            <v>PC</v>
          </cell>
          <cell r="S95" t="str">
            <v>無線</v>
          </cell>
          <cell r="T95" t="str">
            <v>尼崎</v>
          </cell>
          <cell r="U95" t="str">
            <v>本社</v>
          </cell>
          <cell r="V95" t="str">
            <v>関西熱化学</v>
          </cell>
          <cell r="W95" t="str">
            <v>経営企画部　企画</v>
          </cell>
          <cell r="X95" t="str">
            <v>横山　貴司</v>
          </cell>
          <cell r="Y95" t="str">
            <v>KNG4478</v>
          </cell>
          <cell r="Z95" t="str">
            <v/>
          </cell>
          <cell r="AA95" t="str">
            <v>モバイル</v>
          </cell>
          <cell r="AB95" t="str">
            <v>CF-R7</v>
          </cell>
          <cell r="AC95" t="str">
            <v>CF-R7CW5AXS</v>
          </cell>
          <cell r="AD95" t="str">
            <v>8DKSA26725</v>
          </cell>
          <cell r="AE95" t="str">
            <v>リコーImagio MPC3500</v>
          </cell>
          <cell r="AF95" t="str">
            <v>201.255.011.030</v>
          </cell>
          <cell r="AG95" t="str">
            <v/>
          </cell>
          <cell r="AH95" t="str">
            <v/>
          </cell>
          <cell r="AI95" t="str">
            <v/>
          </cell>
          <cell r="AJ95" t="str">
            <v/>
          </cell>
          <cell r="AK95" t="str">
            <v>WindowsXP(SP2)</v>
          </cell>
          <cell r="AL95" t="str">
            <v>KN-01</v>
          </cell>
          <cell r="AM95" t="str">
            <v/>
          </cell>
          <cell r="AN95" t="str">
            <v>201.255.001.001</v>
          </cell>
          <cell r="AO95" t="str">
            <v/>
          </cell>
          <cell r="AP95" t="str">
            <v/>
          </cell>
          <cell r="AQ95" t="str">
            <v>KNG11084</v>
          </cell>
          <cell r="AR95" t="str">
            <v>CCIT</v>
          </cell>
          <cell r="AS95" t="str">
            <v/>
          </cell>
          <cell r="AT95" t="str">
            <v/>
          </cell>
          <cell r="AU95" t="str">
            <v/>
          </cell>
          <cell r="AV95" t="str">
            <v/>
          </cell>
          <cell r="AW95" t="str">
            <v/>
          </cell>
          <cell r="AX95" t="str">
            <v/>
          </cell>
          <cell r="AY95" t="str">
            <v/>
          </cell>
          <cell r="AZ95" t="str">
            <v>DELL 17ｲﾝﾁTFT液晶ﾓﾆﾀ(E170S)、ﾛｼﾞｸｰﾙ ｸﾗｼｯｸｷｰﾎﾞｰﾄﾞ 200ﾌﾞﾗｯｸ</v>
          </cell>
          <cell r="BA95">
            <v>38665</v>
          </cell>
          <cell r="BB95">
            <v>4680</v>
          </cell>
          <cell r="BD95" t="str">
            <v/>
          </cell>
          <cell r="BE95" t="str">
            <v>SafeBoot</v>
          </cell>
        </row>
        <row r="96">
          <cell r="F96">
            <v>133</v>
          </cell>
          <cell r="G96" t="str">
            <v>201.255.011.118</v>
          </cell>
          <cell r="H96" t="str">
            <v/>
          </cell>
          <cell r="I96" t="str">
            <v>KN</v>
          </cell>
          <cell r="J96" t="str">
            <v/>
          </cell>
          <cell r="K96" t="str">
            <v>TG07P0086</v>
          </cell>
          <cell r="L96" t="str">
            <v>第３者保守</v>
          </cell>
          <cell r="M96">
            <v>39356</v>
          </cell>
          <cell r="N96">
            <v>40816</v>
          </cell>
          <cell r="Q96" t="str">
            <v/>
          </cell>
          <cell r="R96" t="str">
            <v>PC</v>
          </cell>
          <cell r="S96" t="str">
            <v>無線</v>
          </cell>
          <cell r="T96" t="str">
            <v>尼崎</v>
          </cell>
          <cell r="U96" t="str">
            <v>本社</v>
          </cell>
          <cell r="V96" t="str">
            <v>関西熱化学</v>
          </cell>
          <cell r="W96" t="str">
            <v>経理財務部</v>
          </cell>
          <cell r="X96" t="str">
            <v>松尾　美樹</v>
          </cell>
          <cell r="Y96" t="str">
            <v>KNG4479</v>
          </cell>
          <cell r="Z96" t="str">
            <v/>
          </cell>
          <cell r="AA96" t="str">
            <v>Safeboot</v>
          </cell>
          <cell r="AB96" t="str">
            <v>ThinkPad R60e</v>
          </cell>
          <cell r="AC96" t="str">
            <v>0658-BJ6</v>
          </cell>
          <cell r="AD96" t="str">
            <v>L3-GB850</v>
          </cell>
          <cell r="AE96" t="str">
            <v>リコーImagio MPC3500</v>
          </cell>
          <cell r="AF96" t="str">
            <v>201.255.011.030</v>
          </cell>
          <cell r="AG96" t="str">
            <v>リコーImagio MPC3000</v>
          </cell>
          <cell r="AH96" t="str">
            <v>201.255.011.027</v>
          </cell>
          <cell r="AI96" t="str">
            <v>リコーIpsio SP 6220</v>
          </cell>
          <cell r="AJ96" t="str">
            <v>201.255.011.029</v>
          </cell>
          <cell r="AK96" t="str">
            <v>WindowsXP(SP2)</v>
          </cell>
          <cell r="AL96" t="str">
            <v>KN-01</v>
          </cell>
          <cell r="AM96" t="str">
            <v/>
          </cell>
          <cell r="AN96" t="str">
            <v>201.255.011.001</v>
          </cell>
          <cell r="AO96" t="str">
            <v>ｾﾝﾁｭﾘｰ・ﾘｰｼﾝｸﾞ・ｼｽﾃﾑ</v>
          </cell>
          <cell r="AP96" t="str">
            <v>L07107062</v>
          </cell>
          <cell r="AQ96" t="str">
            <v>KNG11118</v>
          </cell>
          <cell r="AR96" t="str">
            <v>CCIT</v>
          </cell>
          <cell r="AS96" t="str">
            <v/>
          </cell>
          <cell r="AT96" t="str">
            <v/>
          </cell>
          <cell r="AU96" t="str">
            <v/>
          </cell>
          <cell r="AV96" t="str">
            <v/>
          </cell>
          <cell r="AW96" t="str">
            <v/>
          </cell>
          <cell r="AX96" t="str">
            <v/>
          </cell>
          <cell r="AY96" t="str">
            <v/>
          </cell>
          <cell r="AZ96" t="str">
            <v>変動費・原料炭費は経理財務部全員が使用</v>
          </cell>
          <cell r="BC96">
            <v>800</v>
          </cell>
          <cell r="BD96" t="str">
            <v/>
          </cell>
          <cell r="BE96" t="str">
            <v>SafeBoot</v>
          </cell>
        </row>
        <row r="97">
          <cell r="F97">
            <v>56</v>
          </cell>
          <cell r="G97" t="str">
            <v>201.255.061.041</v>
          </cell>
          <cell r="H97" t="str">
            <v/>
          </cell>
          <cell r="I97" t="str">
            <v>KN</v>
          </cell>
          <cell r="J97" t="str">
            <v/>
          </cell>
          <cell r="K97" t="str">
            <v>TG07P0101</v>
          </cell>
          <cell r="L97" t="str">
            <v>ﾊﾟﾅｿﾆｯｸﾒｰｶｰ保守</v>
          </cell>
          <cell r="M97">
            <v>39417</v>
          </cell>
          <cell r="N97">
            <v>40877</v>
          </cell>
          <cell r="Q97" t="str">
            <v/>
          </cell>
          <cell r="R97" t="str">
            <v>PC</v>
          </cell>
          <cell r="S97" t="str">
            <v/>
          </cell>
          <cell r="T97" t="str">
            <v>尼崎</v>
          </cell>
          <cell r="U97" t="str">
            <v>研究開発センター</v>
          </cell>
          <cell r="V97" t="str">
            <v>関西熱化学</v>
          </cell>
          <cell r="W97" t="str">
            <v>商品開発Ｇ</v>
          </cell>
          <cell r="X97" t="str">
            <v>魚田　省記</v>
          </cell>
          <cell r="Y97" t="str">
            <v>KNG4490</v>
          </cell>
          <cell r="Z97" t="str">
            <v/>
          </cell>
          <cell r="AA97" t="str">
            <v>モバイル</v>
          </cell>
          <cell r="AB97" t="str">
            <v>CF-R6</v>
          </cell>
          <cell r="AC97" t="str">
            <v>CF-R6AW1AXS</v>
          </cell>
          <cell r="AD97" t="str">
            <v>7JKSA38228</v>
          </cell>
          <cell r="AE97" t="str">
            <v>リコーIpsio SP C820</v>
          </cell>
          <cell r="AF97" t="str">
            <v>201.255.061.027</v>
          </cell>
          <cell r="AG97" t="str">
            <v>リコーImagio MPC3000</v>
          </cell>
          <cell r="AH97" t="str">
            <v>201.255.061.033</v>
          </cell>
          <cell r="AI97" t="str">
            <v/>
          </cell>
          <cell r="AJ97" t="str">
            <v/>
          </cell>
          <cell r="AK97" t="str">
            <v>WindowsXP(SP2)</v>
          </cell>
          <cell r="AL97" t="str">
            <v>KN-02</v>
          </cell>
          <cell r="AM97" t="str">
            <v/>
          </cell>
          <cell r="AN97" t="str">
            <v>201.255.011.001</v>
          </cell>
          <cell r="AO97" t="str">
            <v>興銀リース</v>
          </cell>
          <cell r="AP97" t="str">
            <v>07-412607</v>
          </cell>
          <cell r="AQ97" t="str">
            <v>KNG61041</v>
          </cell>
          <cell r="AR97" t="str">
            <v>CCIT</v>
          </cell>
          <cell r="AS97" t="str">
            <v/>
          </cell>
          <cell r="AT97" t="str">
            <v/>
          </cell>
          <cell r="AU97" t="str">
            <v/>
          </cell>
          <cell r="AV97" t="str">
            <v/>
          </cell>
          <cell r="AW97" t="str">
            <v/>
          </cell>
          <cell r="AX97" t="str">
            <v/>
          </cell>
          <cell r="AY97" t="str">
            <v/>
          </cell>
          <cell r="AZ97" t="str">
            <v/>
          </cell>
          <cell r="BB97">
            <v>4439</v>
          </cell>
          <cell r="BD97" t="str">
            <v/>
          </cell>
          <cell r="BE97" t="str">
            <v>Safeboot</v>
          </cell>
        </row>
        <row r="98">
          <cell r="F98">
            <v>60</v>
          </cell>
          <cell r="G98" t="str">
            <v>146.143.020.065</v>
          </cell>
          <cell r="H98" t="str">
            <v/>
          </cell>
          <cell r="I98" t="str">
            <v>RSI</v>
          </cell>
          <cell r="J98" t="str">
            <v/>
          </cell>
          <cell r="K98" t="str">
            <v/>
          </cell>
          <cell r="L98" t="str">
            <v>ﾊﾟﾅｿﾆｯｸﾒｰｶｰ保守</v>
          </cell>
          <cell r="M98">
            <v>39661</v>
          </cell>
          <cell r="N98">
            <v>41121</v>
          </cell>
          <cell r="Q98" t="str">
            <v/>
          </cell>
          <cell r="R98" t="str">
            <v>PC</v>
          </cell>
          <cell r="S98" t="str">
            <v/>
          </cell>
          <cell r="T98" t="str">
            <v>加古川</v>
          </cell>
          <cell r="U98" t="str">
            <v>加古川工場</v>
          </cell>
          <cell r="V98" t="str">
            <v>カーボンテック</v>
          </cell>
          <cell r="W98" t="str">
            <v>東事務所</v>
          </cell>
          <cell r="X98" t="str">
            <v>久保田　哲史</v>
          </cell>
          <cell r="Y98" t="str">
            <v>KNG4491</v>
          </cell>
          <cell r="Z98" t="str">
            <v/>
          </cell>
          <cell r="AA98" t="str">
            <v>モバイル</v>
          </cell>
          <cell r="AB98" t="str">
            <v>CF-R7</v>
          </cell>
          <cell r="AC98" t="str">
            <v>CF-R7CW5AXS</v>
          </cell>
          <cell r="AD98" t="str">
            <v>8DKSA26704</v>
          </cell>
          <cell r="AE98" t="str">
            <v>SHARP MX-4100FN</v>
          </cell>
          <cell r="AF98" t="str">
            <v>146.143.020.224</v>
          </cell>
          <cell r="AG98" t="str">
            <v>リコーImagio MPC3500</v>
          </cell>
          <cell r="AH98" t="str">
            <v>146.143.020.226</v>
          </cell>
          <cell r="AI98" t="str">
            <v/>
          </cell>
          <cell r="AJ98" t="str">
            <v/>
          </cell>
          <cell r="AK98" t="str">
            <v>WindowsXP(SP2)</v>
          </cell>
          <cell r="AL98" t="str">
            <v>CT</v>
          </cell>
          <cell r="AM98" t="str">
            <v/>
          </cell>
          <cell r="AN98" t="str">
            <v>146.143.001.001</v>
          </cell>
          <cell r="AO98" t="str">
            <v/>
          </cell>
          <cell r="AP98" t="str">
            <v/>
          </cell>
          <cell r="AQ98" t="str">
            <v>KNP3D065</v>
          </cell>
          <cell r="AR98" t="str">
            <v>CCIT</v>
          </cell>
          <cell r="AS98" t="str">
            <v/>
          </cell>
          <cell r="AT98" t="str">
            <v/>
          </cell>
          <cell r="AU98" t="str">
            <v/>
          </cell>
          <cell r="AV98" t="str">
            <v/>
          </cell>
          <cell r="AW98" t="str">
            <v/>
          </cell>
          <cell r="AX98" t="str">
            <v/>
          </cell>
          <cell r="AY98" t="str">
            <v/>
          </cell>
          <cell r="AZ98" t="str">
            <v/>
          </cell>
          <cell r="BB98">
            <v>4680</v>
          </cell>
          <cell r="BD98" t="str">
            <v/>
          </cell>
          <cell r="BE98" t="str">
            <v>SafeBoot</v>
          </cell>
        </row>
        <row r="99">
          <cell r="F99">
            <v>69</v>
          </cell>
          <cell r="G99" t="str">
            <v>201.255.011.083</v>
          </cell>
          <cell r="H99" t="str">
            <v/>
          </cell>
          <cell r="I99" t="str">
            <v>RSI</v>
          </cell>
          <cell r="J99" t="str">
            <v/>
          </cell>
          <cell r="K99" t="str">
            <v/>
          </cell>
          <cell r="L99" t="str">
            <v>ﾊﾟﾅｿﾆｯｸﾒｰｶｰ保守</v>
          </cell>
          <cell r="M99">
            <v>39630</v>
          </cell>
          <cell r="N99">
            <v>41090</v>
          </cell>
          <cell r="Q99" t="str">
            <v/>
          </cell>
          <cell r="R99" t="str">
            <v>PC</v>
          </cell>
          <cell r="S99" t="str">
            <v>無線</v>
          </cell>
          <cell r="T99" t="str">
            <v>尼崎</v>
          </cell>
          <cell r="U99" t="str">
            <v>本社</v>
          </cell>
          <cell r="V99" t="str">
            <v>関西熱化学</v>
          </cell>
          <cell r="W99" t="str">
            <v>経営企画部　企画</v>
          </cell>
          <cell r="X99" t="str">
            <v>山下　浩史</v>
          </cell>
          <cell r="Y99" t="str">
            <v>KNG4492</v>
          </cell>
          <cell r="Z99" t="str">
            <v/>
          </cell>
          <cell r="AA99" t="str">
            <v>モバイル</v>
          </cell>
          <cell r="AB99" t="str">
            <v>CF-R7</v>
          </cell>
          <cell r="AC99" t="str">
            <v>CF-R7CW5AXS</v>
          </cell>
          <cell r="AD99" t="str">
            <v>8DKSA26706</v>
          </cell>
          <cell r="AE99" t="str">
            <v>リコーImagio MPC3500</v>
          </cell>
          <cell r="AF99" t="str">
            <v>201.255.011.030</v>
          </cell>
          <cell r="AG99" t="str">
            <v/>
          </cell>
          <cell r="AH99" t="str">
            <v/>
          </cell>
          <cell r="AI99" t="str">
            <v/>
          </cell>
          <cell r="AJ99" t="str">
            <v/>
          </cell>
          <cell r="AK99" t="str">
            <v>WindowsXP(SP2)</v>
          </cell>
          <cell r="AL99" t="str">
            <v>KN-01</v>
          </cell>
          <cell r="AM99" t="str">
            <v/>
          </cell>
          <cell r="AN99" t="str">
            <v>201.255.001.001</v>
          </cell>
          <cell r="AO99" t="str">
            <v/>
          </cell>
          <cell r="AP99" t="str">
            <v/>
          </cell>
          <cell r="AQ99" t="str">
            <v>KNG11083</v>
          </cell>
          <cell r="AR99" t="str">
            <v>CCIT</v>
          </cell>
          <cell r="AS99" t="str">
            <v/>
          </cell>
          <cell r="AT99" t="str">
            <v/>
          </cell>
          <cell r="AU99" t="str">
            <v/>
          </cell>
          <cell r="AV99" t="str">
            <v/>
          </cell>
          <cell r="AW99" t="str">
            <v/>
          </cell>
          <cell r="AX99" t="str">
            <v/>
          </cell>
          <cell r="AY99" t="str">
            <v/>
          </cell>
          <cell r="AZ99" t="str">
            <v>DELL 17ｲﾝﾁTFT液晶ﾓﾆﾀ(E170S)、ﾛｼﾞｸｰﾙ ｸﾗｼｯｸｷｰﾎﾞｰﾄﾞ 200ﾌﾞﾗｯｸ</v>
          </cell>
          <cell r="BA99">
            <v>38999</v>
          </cell>
          <cell r="BB99">
            <v>4680</v>
          </cell>
          <cell r="BD99" t="str">
            <v/>
          </cell>
          <cell r="BE99" t="str">
            <v>SafeBoot</v>
          </cell>
        </row>
        <row r="100">
          <cell r="F100">
            <v>52</v>
          </cell>
          <cell r="G100" t="str">
            <v>201.255.011.055</v>
          </cell>
          <cell r="H100" t="str">
            <v/>
          </cell>
          <cell r="I100" t="str">
            <v>KN</v>
          </cell>
          <cell r="J100" t="str">
            <v/>
          </cell>
          <cell r="K100" t="str">
            <v>TG07P0084</v>
          </cell>
          <cell r="L100" t="str">
            <v>第３者保守</v>
          </cell>
          <cell r="M100">
            <v>39356</v>
          </cell>
          <cell r="N100">
            <v>40816</v>
          </cell>
          <cell r="Q100" t="str">
            <v/>
          </cell>
          <cell r="R100" t="str">
            <v>PC</v>
          </cell>
          <cell r="S100" t="str">
            <v/>
          </cell>
          <cell r="T100" t="str">
            <v>尼崎</v>
          </cell>
          <cell r="U100" t="str">
            <v>本社</v>
          </cell>
          <cell r="V100" t="str">
            <v>関西熱化学</v>
          </cell>
          <cell r="W100" t="str">
            <v>総務人事部　人事</v>
          </cell>
          <cell r="X100" t="str">
            <v>髙部　知子</v>
          </cell>
          <cell r="Y100" t="str">
            <v>KNG4496</v>
          </cell>
          <cell r="Z100" t="str">
            <v/>
          </cell>
          <cell r="AA100" t="str">
            <v>モバイル</v>
          </cell>
          <cell r="AB100" t="str">
            <v>ThinkPad R60e</v>
          </cell>
          <cell r="AC100" t="str">
            <v>0658-BJ6</v>
          </cell>
          <cell r="AD100" t="str">
            <v>L3-GC450</v>
          </cell>
          <cell r="AE100" t="str">
            <v>リコーImagio MPC3000</v>
          </cell>
          <cell r="AF100" t="str">
            <v>201.255.011.024</v>
          </cell>
          <cell r="AG100" t="str">
            <v>リコーIpsio SP6220</v>
          </cell>
          <cell r="AH100" t="str">
            <v>201.255.011.029</v>
          </cell>
          <cell r="AI100" t="str">
            <v/>
          </cell>
          <cell r="AJ100" t="str">
            <v/>
          </cell>
          <cell r="AK100" t="str">
            <v>WindowsXP(SP2)</v>
          </cell>
          <cell r="AL100" t="str">
            <v>KN-01</v>
          </cell>
          <cell r="AM100" t="str">
            <v>0016D3B84B39</v>
          </cell>
          <cell r="AN100" t="str">
            <v>201.255.011.001</v>
          </cell>
          <cell r="AO100" t="str">
            <v>ｾﾝﾁｭﾘｰ・ﾘｰｼﾝｸﾞ・ｼｽﾃﾑ</v>
          </cell>
          <cell r="AP100" t="str">
            <v>L07107061</v>
          </cell>
          <cell r="AQ100" t="str">
            <v>KNG11055</v>
          </cell>
          <cell r="AR100" t="str">
            <v>CCIT</v>
          </cell>
          <cell r="AS100" t="str">
            <v/>
          </cell>
          <cell r="AT100" t="str">
            <v/>
          </cell>
          <cell r="AU100" t="str">
            <v/>
          </cell>
          <cell r="AV100" t="str">
            <v/>
          </cell>
          <cell r="AW100" t="str">
            <v/>
          </cell>
          <cell r="AX100" t="str">
            <v/>
          </cell>
          <cell r="AY100" t="str">
            <v/>
          </cell>
          <cell r="AZ100" t="str">
            <v>MCCドメインのID設定</v>
          </cell>
          <cell r="BC100">
            <v>800</v>
          </cell>
          <cell r="BD100" t="str">
            <v/>
          </cell>
          <cell r="BE100" t="str">
            <v>SafeBoot</v>
          </cell>
        </row>
        <row r="101">
          <cell r="F101">
            <v>37</v>
          </cell>
          <cell r="G101" t="str">
            <v>201.255.011.073</v>
          </cell>
          <cell r="H101" t="str">
            <v/>
          </cell>
          <cell r="I101" t="str">
            <v>KN</v>
          </cell>
          <cell r="J101" t="str">
            <v>有償</v>
          </cell>
          <cell r="K101" t="str">
            <v>TG07P0078</v>
          </cell>
          <cell r="L101" t="str">
            <v>第３者保守</v>
          </cell>
          <cell r="M101">
            <v>39326</v>
          </cell>
          <cell r="N101">
            <v>40786</v>
          </cell>
          <cell r="Q101" t="str">
            <v/>
          </cell>
          <cell r="R101" t="str">
            <v>PC</v>
          </cell>
          <cell r="S101" t="str">
            <v>無線</v>
          </cell>
          <cell r="T101" t="str">
            <v>尼崎</v>
          </cell>
          <cell r="U101" t="str">
            <v>本社</v>
          </cell>
          <cell r="V101" t="str">
            <v>カーボンテック</v>
          </cell>
          <cell r="W101" t="str">
            <v>ｶｰﾎﾞﾝﾃｯｸ機能材事業部</v>
          </cell>
          <cell r="X101" t="str">
            <v>三浦　宏明</v>
          </cell>
          <cell r="Y101" t="str">
            <v>KNG4517</v>
          </cell>
          <cell r="Z101">
            <v>1</v>
          </cell>
          <cell r="AA101" t="str">
            <v>Safeboot</v>
          </cell>
          <cell r="AB101" t="str">
            <v>ThinkPad R60e</v>
          </cell>
          <cell r="AC101" t="str">
            <v>0658-BJ6</v>
          </cell>
          <cell r="AD101" t="str">
            <v>L3-GC344</v>
          </cell>
          <cell r="AE101" t="str">
            <v>リコーImagio MPC3000</v>
          </cell>
          <cell r="AF101" t="str">
            <v>201.255.011.027</v>
          </cell>
          <cell r="AG101" t="str">
            <v>リコーImagio MPC3500</v>
          </cell>
          <cell r="AH101" t="str">
            <v>201.255.011.030</v>
          </cell>
          <cell r="AI101" t="str">
            <v/>
          </cell>
          <cell r="AJ101" t="str">
            <v/>
          </cell>
          <cell r="AK101" t="str">
            <v>WindowsXP(SP2)</v>
          </cell>
          <cell r="AL101" t="str">
            <v>KN-01</v>
          </cell>
          <cell r="AM101" t="str">
            <v>0016D3B84A99</v>
          </cell>
          <cell r="AN101" t="str">
            <v>201.255.011.001</v>
          </cell>
          <cell r="AO101" t="str">
            <v>協同リース</v>
          </cell>
          <cell r="AP101" t="str">
            <v>A7820437</v>
          </cell>
          <cell r="AQ101" t="str">
            <v>KNG11073</v>
          </cell>
          <cell r="AR101" t="str">
            <v>CCIT</v>
          </cell>
          <cell r="AS101" t="str">
            <v/>
          </cell>
          <cell r="AT101" t="str">
            <v/>
          </cell>
          <cell r="AU101" t="str">
            <v/>
          </cell>
          <cell r="AV101" t="str">
            <v/>
          </cell>
          <cell r="AW101" t="str">
            <v/>
          </cell>
          <cell r="AX101" t="str">
            <v/>
          </cell>
          <cell r="AY101" t="str">
            <v/>
          </cell>
          <cell r="AZ101" t="str">
            <v>2009年7月よりｶｰﾎﾞﾝﾃｯｸへ請求</v>
          </cell>
          <cell r="BC101">
            <v>800</v>
          </cell>
          <cell r="BD101" t="str">
            <v/>
          </cell>
          <cell r="BE101" t="str">
            <v>SafeBoot</v>
          </cell>
        </row>
        <row r="102">
          <cell r="F102">
            <v>116</v>
          </cell>
          <cell r="G102" t="str">
            <v>201.255.011.131</v>
          </cell>
          <cell r="H102" t="str">
            <v/>
          </cell>
          <cell r="I102" t="str">
            <v>KN</v>
          </cell>
          <cell r="J102" t="str">
            <v>有償</v>
          </cell>
          <cell r="K102" t="str">
            <v>TG08P0007</v>
          </cell>
          <cell r="L102" t="str">
            <v>ﾊﾟﾅｿﾆｯｸﾒｰｶｰ保守</v>
          </cell>
          <cell r="M102">
            <v>39479</v>
          </cell>
          <cell r="N102">
            <v>40939</v>
          </cell>
          <cell r="Q102" t="str">
            <v/>
          </cell>
          <cell r="R102" t="str">
            <v>PC</v>
          </cell>
          <cell r="S102" t="str">
            <v/>
          </cell>
          <cell r="T102" t="str">
            <v>尼崎</v>
          </cell>
          <cell r="U102" t="str">
            <v>本社</v>
          </cell>
          <cell r="V102" t="str">
            <v>カーボンテック</v>
          </cell>
          <cell r="W102" t="str">
            <v>ｶｰﾎﾞﾝﾃｯｸ機能材事業部</v>
          </cell>
          <cell r="X102" t="str">
            <v>三浦　宏明</v>
          </cell>
          <cell r="Y102" t="str">
            <v>KNG4517</v>
          </cell>
          <cell r="Z102" t="str">
            <v/>
          </cell>
          <cell r="AA102" t="str">
            <v>モバイル</v>
          </cell>
          <cell r="AB102" t="str">
            <v>CF-R6</v>
          </cell>
          <cell r="AC102" t="str">
            <v>CF-R6MW4AXS</v>
          </cell>
          <cell r="AD102" t="str">
            <v>7EKSA20687</v>
          </cell>
          <cell r="AE102" t="str">
            <v>リコーImagio MPC3500</v>
          </cell>
          <cell r="AF102" t="str">
            <v>201.255.011.030</v>
          </cell>
          <cell r="AG102" t="str">
            <v>リコーImagio MPC3000</v>
          </cell>
          <cell r="AH102" t="str">
            <v>201.255.011.027</v>
          </cell>
          <cell r="AI102" t="str">
            <v/>
          </cell>
          <cell r="AJ102" t="str">
            <v/>
          </cell>
          <cell r="AK102" t="str">
            <v>WindowsXP(SP2)</v>
          </cell>
          <cell r="AL102" t="str">
            <v>KN-01</v>
          </cell>
          <cell r="AM102" t="str">
            <v/>
          </cell>
          <cell r="AN102" t="str">
            <v>201.255.011.001</v>
          </cell>
          <cell r="AO102" t="str">
            <v>ｾﾝﾁｭﾘｰ・ﾘｰｼﾝｸﾞ・ｼｽﾃﾑ</v>
          </cell>
          <cell r="AP102" t="str">
            <v>L08027676</v>
          </cell>
          <cell r="AQ102" t="str">
            <v>KNG11131</v>
          </cell>
          <cell r="AR102" t="str">
            <v>CCIT</v>
          </cell>
          <cell r="AS102" t="str">
            <v/>
          </cell>
          <cell r="AT102" t="str">
            <v/>
          </cell>
          <cell r="AU102" t="str">
            <v/>
          </cell>
          <cell r="AV102" t="str">
            <v/>
          </cell>
          <cell r="AW102" t="str">
            <v/>
          </cell>
          <cell r="AX102" t="str">
            <v/>
          </cell>
          <cell r="AY102" t="str">
            <v/>
          </cell>
          <cell r="AZ102" t="str">
            <v>2009年7月よりｶｰﾎﾞﾝﾃｯｸへ請求　2010/2/25　バッテリー新品と交換(KN）</v>
          </cell>
          <cell r="BD102" t="str">
            <v/>
          </cell>
          <cell r="BE102" t="str">
            <v>SafeBoot</v>
          </cell>
        </row>
        <row r="103">
          <cell r="F103">
            <v>144</v>
          </cell>
          <cell r="G103" t="str">
            <v>201.255.011.136</v>
          </cell>
          <cell r="H103" t="str">
            <v/>
          </cell>
          <cell r="I103" t="str">
            <v>KN</v>
          </cell>
          <cell r="J103" t="str">
            <v>有償</v>
          </cell>
          <cell r="K103" t="str">
            <v>TG07P0100</v>
          </cell>
          <cell r="L103" t="str">
            <v>第３者保守</v>
          </cell>
          <cell r="M103">
            <v>39417</v>
          </cell>
          <cell r="N103">
            <v>40877</v>
          </cell>
          <cell r="Q103" t="str">
            <v/>
          </cell>
          <cell r="R103" t="str">
            <v>PC</v>
          </cell>
          <cell r="S103" t="str">
            <v>無線</v>
          </cell>
          <cell r="T103" t="str">
            <v>尼崎</v>
          </cell>
          <cell r="U103" t="str">
            <v>本社</v>
          </cell>
          <cell r="V103" t="str">
            <v>カーボンテック</v>
          </cell>
          <cell r="W103" t="str">
            <v>ｶｰﾎﾞﾝﾃｯｸ機能材事業部</v>
          </cell>
          <cell r="X103" t="str">
            <v>太田　恵子</v>
          </cell>
          <cell r="Y103" t="str">
            <v>KNG4536</v>
          </cell>
          <cell r="Z103" t="str">
            <v/>
          </cell>
          <cell r="AA103" t="str">
            <v>Safeboot</v>
          </cell>
          <cell r="AB103" t="str">
            <v>ThinkPad R60e</v>
          </cell>
          <cell r="AC103" t="str">
            <v>0658-AJ5</v>
          </cell>
          <cell r="AD103" t="str">
            <v>L3-EB334</v>
          </cell>
          <cell r="AE103" t="str">
            <v>リコーImagio MPC3500</v>
          </cell>
          <cell r="AF103" t="str">
            <v>201.255.011.030</v>
          </cell>
          <cell r="AG103" t="str">
            <v>リコーImagio MPC3000</v>
          </cell>
          <cell r="AH103" t="str">
            <v>201.255.011.027</v>
          </cell>
          <cell r="AI103" t="str">
            <v/>
          </cell>
          <cell r="AJ103" t="str">
            <v/>
          </cell>
          <cell r="AK103" t="str">
            <v>WindowsXP(SP2)</v>
          </cell>
          <cell r="AL103" t="str">
            <v>KN-01</v>
          </cell>
          <cell r="AM103" t="str">
            <v>0016D338F6DF</v>
          </cell>
          <cell r="AN103" t="str">
            <v>201.255.011.001</v>
          </cell>
          <cell r="AO103" t="str">
            <v>ｾﾝﾁｭﾘｰ・ﾘｰｼﾝｸﾞ・ｼｽﾃﾑ</v>
          </cell>
          <cell r="AP103" t="str">
            <v>L07112704</v>
          </cell>
          <cell r="AQ103" t="str">
            <v>KNG11136</v>
          </cell>
          <cell r="AR103" t="str">
            <v>CCIT</v>
          </cell>
          <cell r="AS103" t="str">
            <v/>
          </cell>
          <cell r="AT103" t="str">
            <v/>
          </cell>
          <cell r="AU103" t="str">
            <v/>
          </cell>
          <cell r="AV103" t="str">
            <v/>
          </cell>
          <cell r="AW103" t="str">
            <v/>
          </cell>
          <cell r="AX103" t="str">
            <v/>
          </cell>
          <cell r="AY103" t="str">
            <v/>
          </cell>
          <cell r="AZ103" t="str">
            <v>2009年7月よりｶｰﾎﾞﾝﾃｯｸへ請求</v>
          </cell>
          <cell r="BC103">
            <v>800</v>
          </cell>
          <cell r="BD103" t="str">
            <v/>
          </cell>
          <cell r="BE103" t="str">
            <v>SafeBoot</v>
          </cell>
        </row>
        <row r="104">
          <cell r="F104">
            <v>48</v>
          </cell>
          <cell r="G104" t="str">
            <v>146.143.010.083</v>
          </cell>
          <cell r="H104" t="str">
            <v/>
          </cell>
          <cell r="I104" t="str">
            <v>KN</v>
          </cell>
          <cell r="J104" t="str">
            <v/>
          </cell>
          <cell r="K104" t="str">
            <v>TG07P0073</v>
          </cell>
          <cell r="L104" t="str">
            <v>第３者保守</v>
          </cell>
          <cell r="M104">
            <v>39295</v>
          </cell>
          <cell r="N104">
            <v>40755</v>
          </cell>
          <cell r="Q104" t="str">
            <v/>
          </cell>
          <cell r="R104" t="str">
            <v>PC</v>
          </cell>
          <cell r="S104" t="str">
            <v/>
          </cell>
          <cell r="T104" t="str">
            <v>加古川</v>
          </cell>
          <cell r="U104" t="str">
            <v>加古川工場</v>
          </cell>
          <cell r="V104" t="str">
            <v>関西熱化学</v>
          </cell>
          <cell r="W104" t="str">
            <v>生産センター　工務Gr</v>
          </cell>
          <cell r="X104" t="str">
            <v>高瀬　雅之</v>
          </cell>
          <cell r="Y104" t="str">
            <v>KNG4544</v>
          </cell>
          <cell r="Z104" t="str">
            <v/>
          </cell>
          <cell r="AA104" t="str">
            <v>モバイル</v>
          </cell>
          <cell r="AB104" t="str">
            <v>ThinkPad R60e</v>
          </cell>
          <cell r="AC104" t="str">
            <v>0658-BJ6</v>
          </cell>
          <cell r="AD104" t="str">
            <v>L3-EW184</v>
          </cell>
          <cell r="AE104" t="str">
            <v>リコーImagio MPC3300</v>
          </cell>
          <cell r="AF104" t="str">
            <v>146.143.010.220</v>
          </cell>
          <cell r="AG104" t="str">
            <v>リコーImagio MPC3300</v>
          </cell>
          <cell r="AH104" t="str">
            <v>146.143.010.228</v>
          </cell>
          <cell r="AI104" t="str">
            <v/>
          </cell>
          <cell r="AJ104" t="str">
            <v/>
          </cell>
          <cell r="AK104" t="str">
            <v>WindowsXP(SP2)</v>
          </cell>
          <cell r="AL104" t="str">
            <v>KN-03</v>
          </cell>
          <cell r="AM104" t="str">
            <v>0016D33DA547</v>
          </cell>
          <cell r="AN104" t="str">
            <v>146.143.001.001</v>
          </cell>
          <cell r="AO104" t="str">
            <v>興銀リース</v>
          </cell>
          <cell r="AP104" t="str">
            <v>07-410022</v>
          </cell>
          <cell r="AQ104" t="str">
            <v>KNP3B083</v>
          </cell>
          <cell r="AR104" t="str">
            <v>CCIT</v>
          </cell>
          <cell r="AS104" t="str">
            <v/>
          </cell>
          <cell r="AT104" t="str">
            <v/>
          </cell>
          <cell r="AU104" t="str">
            <v/>
          </cell>
          <cell r="AV104" t="str">
            <v/>
          </cell>
          <cell r="AW104" t="str">
            <v/>
          </cell>
          <cell r="AX104" t="str">
            <v/>
          </cell>
          <cell r="AY104" t="str">
            <v/>
          </cell>
          <cell r="AZ104" t="str">
            <v/>
          </cell>
          <cell r="BC104">
            <v>800</v>
          </cell>
          <cell r="BD104" t="str">
            <v/>
          </cell>
          <cell r="BE104" t="str">
            <v>SafeBoot</v>
          </cell>
        </row>
        <row r="105">
          <cell r="F105">
            <v>90</v>
          </cell>
          <cell r="G105" t="str">
            <v>201.255.041.209</v>
          </cell>
          <cell r="H105" t="str">
            <v/>
          </cell>
          <cell r="I105" t="str">
            <v>RSI</v>
          </cell>
          <cell r="J105" t="str">
            <v/>
          </cell>
          <cell r="K105" t="str">
            <v/>
          </cell>
          <cell r="L105" t="str">
            <v>ﾊﾟﾅｿﾆｯｸﾒｰｶｰ保守</v>
          </cell>
          <cell r="M105">
            <v>39630</v>
          </cell>
          <cell r="N105">
            <v>41090</v>
          </cell>
          <cell r="Q105" t="str">
            <v/>
          </cell>
          <cell r="R105" t="str">
            <v>PC</v>
          </cell>
          <cell r="S105" t="str">
            <v/>
          </cell>
          <cell r="T105" t="str">
            <v>尼崎</v>
          </cell>
          <cell r="U105" t="str">
            <v>北門</v>
          </cell>
          <cell r="V105" t="str">
            <v>ＫＮラボアナリシス</v>
          </cell>
          <cell r="W105" t="str">
            <v>精密洗浄</v>
          </cell>
          <cell r="X105" t="str">
            <v>大道　裕二</v>
          </cell>
          <cell r="Y105" t="str">
            <v>KNG4585</v>
          </cell>
          <cell r="Z105" t="str">
            <v/>
          </cell>
          <cell r="AA105" t="str">
            <v>モバイル</v>
          </cell>
          <cell r="AB105" t="str">
            <v>CF-R7</v>
          </cell>
          <cell r="AC105" t="str">
            <v>CF-R7CW5AXS</v>
          </cell>
          <cell r="AD105" t="str">
            <v>8DKSA26004</v>
          </cell>
          <cell r="AE105" t="str">
            <v>リコーImagio MPC5000</v>
          </cell>
          <cell r="AF105" t="str">
            <v>201.255.041.040</v>
          </cell>
          <cell r="AG105" t="str">
            <v>リコーImagio MPC2800</v>
          </cell>
          <cell r="AH105" t="str">
            <v>201.255.041.162</v>
          </cell>
          <cell r="AI105" t="str">
            <v/>
          </cell>
          <cell r="AJ105" t="str">
            <v/>
          </cell>
          <cell r="AK105" t="str">
            <v>WindowsXP(SP2)</v>
          </cell>
          <cell r="AL105" t="str">
            <v>KNL-精密</v>
          </cell>
          <cell r="AM105" t="str">
            <v/>
          </cell>
          <cell r="AN105" t="str">
            <v>201.255.041.001</v>
          </cell>
          <cell r="AO105" t="str">
            <v/>
          </cell>
          <cell r="AP105" t="str">
            <v/>
          </cell>
          <cell r="AQ105" t="str">
            <v>KNG41209</v>
          </cell>
          <cell r="AR105" t="str">
            <v>CCIT</v>
          </cell>
          <cell r="AS105" t="str">
            <v/>
          </cell>
          <cell r="AT105" t="str">
            <v/>
          </cell>
          <cell r="AU105" t="str">
            <v/>
          </cell>
          <cell r="AV105" t="str">
            <v/>
          </cell>
          <cell r="AW105" t="str">
            <v/>
          </cell>
          <cell r="AX105" t="str">
            <v/>
          </cell>
          <cell r="AY105" t="str">
            <v/>
          </cell>
          <cell r="AZ105" t="str">
            <v/>
          </cell>
          <cell r="BB105">
            <v>4680</v>
          </cell>
          <cell r="BD105" t="str">
            <v/>
          </cell>
          <cell r="BE105" t="str">
            <v>SafeBoot</v>
          </cell>
        </row>
        <row r="106">
          <cell r="F106">
            <v>72</v>
          </cell>
          <cell r="G106" t="str">
            <v>146.143.010.211</v>
          </cell>
          <cell r="H106" t="str">
            <v/>
          </cell>
          <cell r="I106" t="str">
            <v>RSI</v>
          </cell>
          <cell r="J106" t="str">
            <v/>
          </cell>
          <cell r="K106" t="str">
            <v/>
          </cell>
          <cell r="L106" t="str">
            <v>ﾊﾟﾅｿﾆｯｸﾒｰｶｰ保守</v>
          </cell>
          <cell r="M106">
            <v>39783</v>
          </cell>
          <cell r="N106">
            <v>41243</v>
          </cell>
          <cell r="Q106" t="str">
            <v/>
          </cell>
          <cell r="R106" t="str">
            <v>PC</v>
          </cell>
          <cell r="S106" t="str">
            <v/>
          </cell>
          <cell r="T106" t="str">
            <v>加古川</v>
          </cell>
          <cell r="U106" t="str">
            <v>加古川工場</v>
          </cell>
          <cell r="V106" t="str">
            <v>関西熱化学</v>
          </cell>
          <cell r="W106" t="str">
            <v>生産センター　コークス</v>
          </cell>
          <cell r="X106" t="str">
            <v>高山　信輝</v>
          </cell>
          <cell r="Y106" t="str">
            <v>KNG4590</v>
          </cell>
          <cell r="Z106" t="str">
            <v/>
          </cell>
          <cell r="AA106" t="str">
            <v>モバイル</v>
          </cell>
          <cell r="AB106" t="str">
            <v>CF-R7</v>
          </cell>
          <cell r="AC106" t="str">
            <v>CF-R7CW5AXS</v>
          </cell>
          <cell r="AD106" t="str">
            <v>8DKSA27313</v>
          </cell>
          <cell r="AE106" t="str">
            <v>リコーIpsio SP C820</v>
          </cell>
          <cell r="AF106" t="str">
            <v>146.143.010.221</v>
          </cell>
          <cell r="AG106" t="str">
            <v/>
          </cell>
          <cell r="AH106" t="str">
            <v/>
          </cell>
          <cell r="AI106" t="str">
            <v/>
          </cell>
          <cell r="AJ106" t="str">
            <v/>
          </cell>
          <cell r="AK106" t="str">
            <v>WindowsXP(SP2)</v>
          </cell>
          <cell r="AL106" t="str">
            <v>KN-03</v>
          </cell>
          <cell r="AM106" t="str">
            <v/>
          </cell>
          <cell r="AN106" t="str">
            <v>146.143.001.001</v>
          </cell>
          <cell r="AO106" t="str">
            <v/>
          </cell>
          <cell r="AP106" t="str">
            <v/>
          </cell>
          <cell r="AQ106" t="str">
            <v>KNP3B211</v>
          </cell>
          <cell r="AR106" t="str">
            <v>CCIT</v>
          </cell>
          <cell r="AS106" t="str">
            <v/>
          </cell>
          <cell r="AT106" t="str">
            <v/>
          </cell>
          <cell r="AU106" t="str">
            <v/>
          </cell>
          <cell r="AV106" t="str">
            <v/>
          </cell>
          <cell r="AW106" t="str">
            <v/>
          </cell>
          <cell r="AX106" t="str">
            <v/>
          </cell>
          <cell r="AY106" t="str">
            <v/>
          </cell>
          <cell r="AZ106" t="str">
            <v>モニタ：SAMSUNG SyncMaster 2243SW PLUS(2009/06/24-3年保証）　キーボード：Ultra-Flat Keyboard iK-40DS(2009/06/24-2年保証）　レノボマウス貸出中、Panasonicマウスは高山様が保管中</v>
          </cell>
          <cell r="BA106">
            <v>43475</v>
          </cell>
          <cell r="BB106">
            <v>4690</v>
          </cell>
          <cell r="BD106" t="str">
            <v/>
          </cell>
          <cell r="BE106" t="str">
            <v>SafeBoot</v>
          </cell>
        </row>
        <row r="107">
          <cell r="F107">
            <v>108</v>
          </cell>
          <cell r="G107" t="str">
            <v>146.143.010.210</v>
          </cell>
          <cell r="H107" t="str">
            <v/>
          </cell>
          <cell r="I107" t="str">
            <v>RSI</v>
          </cell>
          <cell r="J107" t="str">
            <v/>
          </cell>
          <cell r="K107" t="str">
            <v/>
          </cell>
          <cell r="L107" t="str">
            <v>ﾊﾟﾅｿﾆｯｸﾒｰｶｰ保守</v>
          </cell>
          <cell r="M107">
            <v>39873</v>
          </cell>
          <cell r="N107">
            <v>41333</v>
          </cell>
          <cell r="Q107" t="str">
            <v/>
          </cell>
          <cell r="R107" t="str">
            <v>PC</v>
          </cell>
          <cell r="S107" t="str">
            <v/>
          </cell>
          <cell r="T107" t="str">
            <v>加古川</v>
          </cell>
          <cell r="U107" t="str">
            <v>加古川工場</v>
          </cell>
          <cell r="V107" t="str">
            <v>関西熱化学</v>
          </cell>
          <cell r="W107" t="str">
            <v>生産センター　ガス課</v>
          </cell>
          <cell r="X107" t="str">
            <v>犬飼　正法</v>
          </cell>
          <cell r="Y107" t="str">
            <v>KNG4591</v>
          </cell>
          <cell r="Z107" t="str">
            <v/>
          </cell>
          <cell r="AA107" t="str">
            <v>モバイル</v>
          </cell>
          <cell r="AB107" t="str">
            <v>CF-R7</v>
          </cell>
          <cell r="AC107" t="str">
            <v>CF-R7DW6AAS</v>
          </cell>
          <cell r="AD107" t="str">
            <v>8JKSB43678</v>
          </cell>
          <cell r="AE107" t="str">
            <v>リコーIpsio SP C820</v>
          </cell>
          <cell r="AF107" t="str">
            <v>146.143.010.221</v>
          </cell>
          <cell r="AG107" t="str">
            <v>リコーImagio MPC4000</v>
          </cell>
          <cell r="AH107" t="str">
            <v>146.143.010.227</v>
          </cell>
          <cell r="AI107" t="str">
            <v>リコーImagio MPC2800</v>
          </cell>
          <cell r="AJ107" t="str">
            <v>146.143.010.233</v>
          </cell>
          <cell r="AK107" t="str">
            <v>WindowsXP(SP2)</v>
          </cell>
          <cell r="AL107" t="str">
            <v>KN-03</v>
          </cell>
          <cell r="AM107" t="str">
            <v/>
          </cell>
          <cell r="AN107" t="str">
            <v>146.143.001.001</v>
          </cell>
          <cell r="AO107" t="str">
            <v/>
          </cell>
          <cell r="AP107" t="str">
            <v/>
          </cell>
          <cell r="AQ107" t="str">
            <v>KNP3B210</v>
          </cell>
          <cell r="AR107" t="str">
            <v>CCIT</v>
          </cell>
          <cell r="AS107" t="str">
            <v/>
          </cell>
          <cell r="AT107" t="str">
            <v/>
          </cell>
          <cell r="AU107" t="str">
            <v/>
          </cell>
          <cell r="AV107" t="str">
            <v/>
          </cell>
          <cell r="AW107" t="str">
            <v/>
          </cell>
          <cell r="AX107" t="str">
            <v/>
          </cell>
          <cell r="AY107" t="str">
            <v/>
          </cell>
          <cell r="AZ107" t="str">
            <v>卓上モニタ：　サムスン17型液晶ﾓﾆﾀｰ　743APLUS(BK) 、2009/11/11修理、キーボードは犬飼様自身で購入されたものをご利用です。</v>
          </cell>
          <cell r="BB107">
            <v>4640</v>
          </cell>
          <cell r="BD107" t="str">
            <v/>
          </cell>
          <cell r="BE107" t="str">
            <v>SafeBoot</v>
          </cell>
        </row>
        <row r="108">
          <cell r="F108">
            <v>143</v>
          </cell>
          <cell r="G108" t="str">
            <v>201.255.041.081</v>
          </cell>
          <cell r="H108" t="str">
            <v/>
          </cell>
          <cell r="I108" t="str">
            <v>KNL</v>
          </cell>
          <cell r="J108" t="str">
            <v/>
          </cell>
          <cell r="K108" t="str">
            <v>TG06P0050</v>
          </cell>
          <cell r="L108" t="str">
            <v>第３者保守</v>
          </cell>
          <cell r="M108">
            <v>38961</v>
          </cell>
          <cell r="N108">
            <v>40421</v>
          </cell>
          <cell r="Q108" t="str">
            <v/>
          </cell>
          <cell r="R108" t="str">
            <v>PC</v>
          </cell>
          <cell r="S108" t="str">
            <v/>
          </cell>
          <cell r="T108" t="str">
            <v>尼崎</v>
          </cell>
          <cell r="U108" t="str">
            <v>北門</v>
          </cell>
          <cell r="V108" t="str">
            <v>ＫＮラボアナリシス</v>
          </cell>
          <cell r="W108" t="str">
            <v>本社</v>
          </cell>
          <cell r="X108" t="str">
            <v>小林　哲弘</v>
          </cell>
          <cell r="Y108" t="str">
            <v>KNG4592</v>
          </cell>
          <cell r="Z108" t="str">
            <v/>
          </cell>
          <cell r="AA108" t="str">
            <v>モバイル</v>
          </cell>
          <cell r="AB108" t="str">
            <v>ThinkPad R51e</v>
          </cell>
          <cell r="AC108" t="str">
            <v>1843-A65</v>
          </cell>
          <cell r="AD108" t="str">
            <v>LV-DLV90</v>
          </cell>
          <cell r="AE108" t="str">
            <v>リコーImagio MPC2500</v>
          </cell>
          <cell r="AF108" t="str">
            <v>201.255.041.021</v>
          </cell>
          <cell r="AG108" t="str">
            <v/>
          </cell>
          <cell r="AH108" t="str">
            <v/>
          </cell>
          <cell r="AI108" t="str">
            <v/>
          </cell>
          <cell r="AJ108" t="str">
            <v/>
          </cell>
          <cell r="AK108" t="str">
            <v>WindowsXP(SP2)</v>
          </cell>
          <cell r="AL108" t="str">
            <v>KNL-総務</v>
          </cell>
          <cell r="AM108" t="str">
            <v/>
          </cell>
          <cell r="AN108" t="str">
            <v>201.255.041.001</v>
          </cell>
          <cell r="AO108" t="str">
            <v/>
          </cell>
          <cell r="AP108" t="str">
            <v/>
          </cell>
          <cell r="AQ108" t="str">
            <v>KNG41081</v>
          </cell>
          <cell r="AR108" t="str">
            <v>CCIT</v>
          </cell>
          <cell r="AS108" t="str">
            <v/>
          </cell>
          <cell r="AT108" t="str">
            <v/>
          </cell>
          <cell r="AU108" t="str">
            <v/>
          </cell>
          <cell r="AV108" t="str">
            <v/>
          </cell>
          <cell r="AW108" t="str">
            <v>0200FE000080</v>
          </cell>
          <cell r="AX108" t="str">
            <v/>
          </cell>
          <cell r="AY108" t="str">
            <v/>
          </cell>
          <cell r="AZ108" t="str">
            <v>テンキー使用</v>
          </cell>
          <cell r="BA108">
            <v>44052</v>
          </cell>
          <cell r="BC108">
            <v>800</v>
          </cell>
          <cell r="BD108" t="str">
            <v/>
          </cell>
          <cell r="BE108" t="str">
            <v>SafeBoot</v>
          </cell>
        </row>
        <row r="109">
          <cell r="F109">
            <v>104</v>
          </cell>
          <cell r="G109" t="str">
            <v>201.255.061.154</v>
          </cell>
          <cell r="H109" t="str">
            <v/>
          </cell>
          <cell r="I109" t="str">
            <v>KN</v>
          </cell>
          <cell r="J109" t="str">
            <v>有償</v>
          </cell>
          <cell r="K109" t="str">
            <v>TG07P0101</v>
          </cell>
          <cell r="L109" t="str">
            <v>ﾊﾟﾅｿﾆｯｸﾒｰｶｰ保守</v>
          </cell>
          <cell r="M109">
            <v>39417</v>
          </cell>
          <cell r="N109">
            <v>40877</v>
          </cell>
          <cell r="Q109" t="str">
            <v/>
          </cell>
          <cell r="R109" t="str">
            <v>PC</v>
          </cell>
          <cell r="S109" t="str">
            <v/>
          </cell>
          <cell r="T109" t="str">
            <v>尼崎</v>
          </cell>
          <cell r="U109" t="str">
            <v>研究開発センター</v>
          </cell>
          <cell r="V109" t="str">
            <v>カーボンテック</v>
          </cell>
          <cell r="W109" t="str">
            <v>ｶｰﾎﾞﾝﾃｯｸ機能材事業部</v>
          </cell>
          <cell r="X109" t="str">
            <v>赤松　徳康</v>
          </cell>
          <cell r="Y109" t="str">
            <v>KNG4593</v>
          </cell>
          <cell r="Z109" t="str">
            <v/>
          </cell>
          <cell r="AA109" t="str">
            <v>モバイル</v>
          </cell>
          <cell r="AB109" t="str">
            <v>CF-R6</v>
          </cell>
          <cell r="AC109" t="str">
            <v>CF-R6AW1AXS</v>
          </cell>
          <cell r="AD109" t="str">
            <v>7JKSA38031</v>
          </cell>
          <cell r="AE109" t="str">
            <v>リコーIpsio SP C820</v>
          </cell>
          <cell r="AF109" t="str">
            <v>201.255.061.027</v>
          </cell>
          <cell r="AG109" t="str">
            <v>リコーImagio MPC3000</v>
          </cell>
          <cell r="AH109" t="str">
            <v>201.255.061.033</v>
          </cell>
          <cell r="AI109" t="str">
            <v/>
          </cell>
          <cell r="AJ109" t="str">
            <v/>
          </cell>
          <cell r="AK109" t="str">
            <v>WindowsXP(SP2)</v>
          </cell>
          <cell r="AL109" t="str">
            <v>KN-02</v>
          </cell>
          <cell r="AM109" t="str">
            <v/>
          </cell>
          <cell r="AN109" t="str">
            <v>201.255.061.001</v>
          </cell>
          <cell r="AO109" t="str">
            <v>興銀リース</v>
          </cell>
          <cell r="AP109" t="str">
            <v>07-412607</v>
          </cell>
          <cell r="AQ109" t="str">
            <v>KNG61154</v>
          </cell>
          <cell r="AR109" t="str">
            <v>CCIT</v>
          </cell>
          <cell r="AS109" t="str">
            <v/>
          </cell>
          <cell r="AT109" t="str">
            <v/>
          </cell>
          <cell r="AU109" t="str">
            <v/>
          </cell>
          <cell r="AV109" t="str">
            <v/>
          </cell>
          <cell r="AW109" t="str">
            <v/>
          </cell>
          <cell r="AX109" t="str">
            <v/>
          </cell>
          <cell r="AY109" t="str">
            <v/>
          </cell>
          <cell r="AZ109" t="str">
            <v>2009/10/23バッテリー交換</v>
          </cell>
          <cell r="BB109">
            <v>4439</v>
          </cell>
          <cell r="BD109" t="str">
            <v/>
          </cell>
          <cell r="BE109" t="str">
            <v>SafeBoot</v>
          </cell>
        </row>
        <row r="110">
          <cell r="F110">
            <v>115</v>
          </cell>
          <cell r="G110" t="str">
            <v>201.255.011.116</v>
          </cell>
          <cell r="H110" t="str">
            <v/>
          </cell>
          <cell r="I110" t="str">
            <v>KN</v>
          </cell>
          <cell r="J110" t="str">
            <v>有償</v>
          </cell>
          <cell r="K110" t="str">
            <v>TG07P0060</v>
          </cell>
          <cell r="L110" t="str">
            <v>第３者保守</v>
          </cell>
          <cell r="M110">
            <v>39264</v>
          </cell>
          <cell r="N110">
            <v>40724</v>
          </cell>
          <cell r="Q110" t="str">
            <v/>
          </cell>
          <cell r="R110" t="str">
            <v>PC</v>
          </cell>
          <cell r="S110" t="str">
            <v>無線</v>
          </cell>
          <cell r="T110" t="str">
            <v>尼崎</v>
          </cell>
          <cell r="U110" t="str">
            <v>本社</v>
          </cell>
          <cell r="V110" t="str">
            <v>カーボンテック</v>
          </cell>
          <cell r="W110" t="str">
            <v>ｶｰﾎﾞﾝﾃｯｸ機能材事業部</v>
          </cell>
          <cell r="X110" t="str">
            <v>福田　雅人</v>
          </cell>
          <cell r="Y110" t="str">
            <v>KNG4627</v>
          </cell>
          <cell r="Z110">
            <v>1</v>
          </cell>
          <cell r="AA110" t="str">
            <v>Safeboot</v>
          </cell>
          <cell r="AB110" t="str">
            <v>ThinkPad R60e</v>
          </cell>
          <cell r="AC110" t="str">
            <v>0658-BJ6</v>
          </cell>
          <cell r="AD110" t="str">
            <v>L3-ET262</v>
          </cell>
          <cell r="AE110" t="str">
            <v>リコーImagio MPC3500</v>
          </cell>
          <cell r="AF110" t="str">
            <v>201.255.011.030</v>
          </cell>
          <cell r="AG110" t="str">
            <v>リコーImagio MPC3000</v>
          </cell>
          <cell r="AH110" t="str">
            <v>201.255.011.027</v>
          </cell>
          <cell r="AI110" t="str">
            <v/>
          </cell>
          <cell r="AJ110" t="str">
            <v/>
          </cell>
          <cell r="AK110" t="str">
            <v>WindowsXP(SP2)</v>
          </cell>
          <cell r="AL110" t="str">
            <v>KN-01</v>
          </cell>
          <cell r="AM110" t="str">
            <v/>
          </cell>
          <cell r="AN110" t="str">
            <v>201.255.011.001</v>
          </cell>
          <cell r="AO110" t="str">
            <v>協同リース</v>
          </cell>
          <cell r="AP110" t="str">
            <v>A7820291</v>
          </cell>
          <cell r="AQ110" t="str">
            <v>KNG11116</v>
          </cell>
          <cell r="AR110" t="str">
            <v>CCIT</v>
          </cell>
          <cell r="AS110" t="str">
            <v/>
          </cell>
          <cell r="AT110" t="str">
            <v/>
          </cell>
          <cell r="AU110" t="str">
            <v/>
          </cell>
          <cell r="AV110" t="str">
            <v/>
          </cell>
          <cell r="AW110" t="str">
            <v/>
          </cell>
          <cell r="AX110" t="str">
            <v/>
          </cell>
          <cell r="AY110" t="str">
            <v/>
          </cell>
          <cell r="AZ110" t="str">
            <v>2009年7月よりｶｰﾎﾞﾝﾃｯｸへ請求</v>
          </cell>
          <cell r="BC110">
            <v>800</v>
          </cell>
          <cell r="BD110" t="str">
            <v/>
          </cell>
          <cell r="BE110" t="str">
            <v>SafeBoot</v>
          </cell>
        </row>
        <row r="111">
          <cell r="F111">
            <v>147</v>
          </cell>
          <cell r="G111" t="str">
            <v>201.255.011.198</v>
          </cell>
          <cell r="H111" t="str">
            <v/>
          </cell>
          <cell r="I111" t="str">
            <v>RSI</v>
          </cell>
          <cell r="J111" t="str">
            <v/>
          </cell>
          <cell r="K111" t="str">
            <v/>
          </cell>
          <cell r="L111" t="str">
            <v>ﾊﾟﾅｿﾆｯｸﾒｰｶｰ保守</v>
          </cell>
          <cell r="M111">
            <v>39630</v>
          </cell>
          <cell r="N111">
            <v>41090</v>
          </cell>
          <cell r="Q111" t="str">
            <v/>
          </cell>
          <cell r="R111" t="str">
            <v>PC</v>
          </cell>
          <cell r="S111" t="str">
            <v/>
          </cell>
          <cell r="T111" t="str">
            <v>尼崎</v>
          </cell>
          <cell r="U111" t="str">
            <v>本社</v>
          </cell>
          <cell r="V111" t="str">
            <v>カーボンテック</v>
          </cell>
          <cell r="W111" t="str">
            <v>ｶｰﾎﾞﾝﾃｯｸ機能材事業部</v>
          </cell>
          <cell r="X111" t="str">
            <v>福田　雅人</v>
          </cell>
          <cell r="Y111" t="str">
            <v>KNG4627</v>
          </cell>
          <cell r="Z111" t="str">
            <v/>
          </cell>
          <cell r="AA111" t="str">
            <v>モバイル</v>
          </cell>
          <cell r="AB111" t="str">
            <v>CF-R7</v>
          </cell>
          <cell r="AC111" t="str">
            <v>CF-R7CW5AXS</v>
          </cell>
          <cell r="AD111" t="str">
            <v>8DKSA26736</v>
          </cell>
          <cell r="AE111" t="str">
            <v>リコーImagio MPC3000</v>
          </cell>
          <cell r="AF111" t="str">
            <v>201.255.011.027</v>
          </cell>
          <cell r="AG111" t="str">
            <v/>
          </cell>
          <cell r="AH111" t="str">
            <v/>
          </cell>
          <cell r="AI111" t="str">
            <v/>
          </cell>
          <cell r="AJ111" t="str">
            <v/>
          </cell>
          <cell r="AK111" t="str">
            <v>WindowsXP(SP2)</v>
          </cell>
          <cell r="AL111" t="str">
            <v>CT</v>
          </cell>
          <cell r="AM111" t="str">
            <v/>
          </cell>
          <cell r="AN111" t="str">
            <v>201.255.011.001</v>
          </cell>
          <cell r="AO111" t="str">
            <v/>
          </cell>
          <cell r="AP111" t="str">
            <v/>
          </cell>
          <cell r="AQ111" t="str">
            <v>KNG11198</v>
          </cell>
          <cell r="AR111" t="str">
            <v>CCIT</v>
          </cell>
          <cell r="AS111" t="str">
            <v/>
          </cell>
          <cell r="AT111" t="str">
            <v/>
          </cell>
          <cell r="AU111" t="str">
            <v/>
          </cell>
          <cell r="AV111" t="str">
            <v/>
          </cell>
          <cell r="AW111" t="str">
            <v/>
          </cell>
          <cell r="AX111" t="str">
            <v/>
          </cell>
          <cell r="AY111" t="str">
            <v/>
          </cell>
          <cell r="AZ111" t="str">
            <v/>
          </cell>
          <cell r="BA111">
            <v>39303</v>
          </cell>
          <cell r="BB111">
            <v>4680</v>
          </cell>
          <cell r="BD111" t="str">
            <v/>
          </cell>
          <cell r="BE111" t="str">
            <v>SafeBoot</v>
          </cell>
        </row>
        <row r="112">
          <cell r="F112">
            <v>45</v>
          </cell>
          <cell r="G112" t="str">
            <v>146.143.010.098</v>
          </cell>
          <cell r="H112" t="str">
            <v/>
          </cell>
          <cell r="I112" t="str">
            <v>KN</v>
          </cell>
          <cell r="J112" t="str">
            <v/>
          </cell>
          <cell r="K112" t="str">
            <v>TG07P0086</v>
          </cell>
          <cell r="L112" t="str">
            <v>第３者保守</v>
          </cell>
          <cell r="M112">
            <v>39356</v>
          </cell>
          <cell r="N112">
            <v>40816</v>
          </cell>
          <cell r="Q112" t="str">
            <v/>
          </cell>
          <cell r="R112" t="str">
            <v>PC</v>
          </cell>
          <cell r="S112" t="str">
            <v/>
          </cell>
          <cell r="T112" t="str">
            <v>加古川</v>
          </cell>
          <cell r="U112" t="str">
            <v>加古川工場</v>
          </cell>
          <cell r="V112" t="str">
            <v>関西熱化学</v>
          </cell>
          <cell r="W112" t="str">
            <v>生産センター　設備課</v>
          </cell>
          <cell r="X112" t="str">
            <v>玉置　恵祐</v>
          </cell>
          <cell r="Y112" t="str">
            <v>KNG4628</v>
          </cell>
          <cell r="Z112" t="str">
            <v/>
          </cell>
          <cell r="AA112" t="str">
            <v>Safeboot</v>
          </cell>
          <cell r="AB112" t="str">
            <v>ThinkPad R60e</v>
          </cell>
          <cell r="AC112" t="str">
            <v>0658-BJ6</v>
          </cell>
          <cell r="AD112" t="str">
            <v>L3-GC474</v>
          </cell>
          <cell r="AE112" t="str">
            <v>リコーImagio MPC3300</v>
          </cell>
          <cell r="AF112" t="str">
            <v>146.143.010.220</v>
          </cell>
          <cell r="AG112" t="str">
            <v>リコーImagio MPC3300</v>
          </cell>
          <cell r="AH112" t="str">
            <v>146.143.010.228</v>
          </cell>
          <cell r="AI112" t="str">
            <v/>
          </cell>
          <cell r="AJ112" t="str">
            <v/>
          </cell>
          <cell r="AK112" t="str">
            <v>WindowsXP(SP2)</v>
          </cell>
          <cell r="AL112" t="str">
            <v>KN-03</v>
          </cell>
          <cell r="AM112" t="str">
            <v>0016D3B84A54</v>
          </cell>
          <cell r="AN112" t="str">
            <v>146.143.001.001</v>
          </cell>
          <cell r="AO112" t="str">
            <v>ｾﾝﾁｭﾘｰ・ﾘｰｼﾝｸﾞ・ｼｽﾃﾑ</v>
          </cell>
          <cell r="AP112" t="str">
            <v>L07107062</v>
          </cell>
          <cell r="AQ112" t="str">
            <v>KNP3B098</v>
          </cell>
          <cell r="AR112" t="str">
            <v>CCIT</v>
          </cell>
          <cell r="AS112" t="str">
            <v/>
          </cell>
          <cell r="AT112" t="str">
            <v/>
          </cell>
          <cell r="AU112" t="str">
            <v/>
          </cell>
          <cell r="AV112" t="str">
            <v/>
          </cell>
          <cell r="AW112" t="str">
            <v/>
          </cell>
          <cell r="AX112" t="str">
            <v/>
          </cell>
          <cell r="AY112" t="str">
            <v/>
          </cell>
          <cell r="AZ112" t="str">
            <v/>
          </cell>
          <cell r="BC112">
            <v>800</v>
          </cell>
          <cell r="BD112" t="str">
            <v/>
          </cell>
          <cell r="BE112" t="str">
            <v>SafeBoot</v>
          </cell>
        </row>
        <row r="113">
          <cell r="F113">
            <v>94</v>
          </cell>
          <cell r="G113" t="str">
            <v>201.255.041.193</v>
          </cell>
          <cell r="H113" t="str">
            <v/>
          </cell>
          <cell r="I113" t="str">
            <v>KNL</v>
          </cell>
          <cell r="J113" t="str">
            <v/>
          </cell>
          <cell r="K113" t="str">
            <v>TG07P0090</v>
          </cell>
          <cell r="L113" t="str">
            <v>ﾊﾟﾅｿﾆｯｸﾒｰｶｰ保守</v>
          </cell>
          <cell r="M113">
            <v>39356</v>
          </cell>
          <cell r="N113">
            <v>40816</v>
          </cell>
          <cell r="Q113" t="str">
            <v/>
          </cell>
          <cell r="R113" t="str">
            <v>PC</v>
          </cell>
          <cell r="S113" t="str">
            <v/>
          </cell>
          <cell r="T113" t="str">
            <v>尼崎</v>
          </cell>
          <cell r="U113" t="str">
            <v>北門</v>
          </cell>
          <cell r="V113" t="str">
            <v>ＫＮラボアナリシス</v>
          </cell>
          <cell r="W113" t="str">
            <v>精密洗浄事業部</v>
          </cell>
          <cell r="X113" t="str">
            <v>井上　雄一</v>
          </cell>
          <cell r="Y113" t="str">
            <v>KNG4629</v>
          </cell>
          <cell r="Z113" t="str">
            <v/>
          </cell>
          <cell r="AA113" t="str">
            <v>モバイル</v>
          </cell>
          <cell r="AB113" t="str">
            <v>CF-R6</v>
          </cell>
          <cell r="AC113" t="str">
            <v>CF-R6MW4AXS</v>
          </cell>
          <cell r="AD113" t="str">
            <v>7EKSA21494</v>
          </cell>
          <cell r="AE113" t="str">
            <v>リコーImagio MPC5000</v>
          </cell>
          <cell r="AF113" t="str">
            <v>201.255.041.040</v>
          </cell>
          <cell r="AG113" t="str">
            <v>リコーImagio MPC2800</v>
          </cell>
          <cell r="AH113" t="str">
            <v>201.255.041.162</v>
          </cell>
          <cell r="AI113" t="str">
            <v/>
          </cell>
          <cell r="AJ113" t="str">
            <v/>
          </cell>
          <cell r="AK113" t="str">
            <v>WindowsXP(SP2)</v>
          </cell>
          <cell r="AL113" t="str">
            <v>KNL-精密</v>
          </cell>
          <cell r="AM113" t="str">
            <v/>
          </cell>
          <cell r="AN113" t="str">
            <v>201.255.041.001</v>
          </cell>
          <cell r="AO113" t="str">
            <v>ｾﾝﾁｭﾘｰ・ﾘｰｼﾝｸﾞ・ｼｽﾃﾑ</v>
          </cell>
          <cell r="AP113" t="str">
            <v>L07107059</v>
          </cell>
          <cell r="AQ113" t="str">
            <v>KNG41193</v>
          </cell>
          <cell r="AR113" t="str">
            <v>CCIT</v>
          </cell>
          <cell r="AS113" t="str">
            <v/>
          </cell>
          <cell r="AT113" t="str">
            <v/>
          </cell>
          <cell r="AU113" t="str">
            <v/>
          </cell>
          <cell r="AV113" t="str">
            <v/>
          </cell>
          <cell r="AW113" t="str">
            <v/>
          </cell>
          <cell r="AX113" t="str">
            <v/>
          </cell>
          <cell r="AY113" t="str">
            <v/>
          </cell>
          <cell r="AZ113" t="str">
            <v>接続のユーザー名入力の問い合わせが多い人（OA番号@rsicpa）</v>
          </cell>
          <cell r="BD113" t="str">
            <v/>
          </cell>
          <cell r="BE113" t="str">
            <v>SafeBoot</v>
          </cell>
        </row>
        <row r="114">
          <cell r="F114">
            <v>66</v>
          </cell>
          <cell r="G114" t="str">
            <v>146.143.010.136</v>
          </cell>
          <cell r="H114" t="str">
            <v/>
          </cell>
          <cell r="I114" t="str">
            <v>RSI</v>
          </cell>
          <cell r="J114" t="str">
            <v/>
          </cell>
          <cell r="K114" t="str">
            <v/>
          </cell>
          <cell r="L114" t="str">
            <v>ﾊﾟﾅｿﾆｯｸﾒｰｶｰ保守</v>
          </cell>
          <cell r="M114">
            <v>39630</v>
          </cell>
          <cell r="N114">
            <v>41090</v>
          </cell>
          <cell r="Q114" t="str">
            <v/>
          </cell>
          <cell r="R114" t="str">
            <v>PC</v>
          </cell>
          <cell r="S114" t="str">
            <v/>
          </cell>
          <cell r="T114" t="str">
            <v>加古川</v>
          </cell>
          <cell r="U114" t="str">
            <v>加古川工場</v>
          </cell>
          <cell r="V114" t="str">
            <v>関西熱化学</v>
          </cell>
          <cell r="W114" t="str">
            <v>生産センター　生産管理</v>
          </cell>
          <cell r="X114" t="str">
            <v>小嶋　和広</v>
          </cell>
          <cell r="Y114" t="str">
            <v>KNG4676</v>
          </cell>
          <cell r="Z114" t="str">
            <v/>
          </cell>
          <cell r="AA114" t="str">
            <v>モバイル</v>
          </cell>
          <cell r="AB114" t="str">
            <v>CF-R7</v>
          </cell>
          <cell r="AC114" t="str">
            <v>CF-R7CW5AXS</v>
          </cell>
          <cell r="AD114" t="str">
            <v>8DKSA26722</v>
          </cell>
          <cell r="AE114" t="str">
            <v>リコーIpsio SP C820</v>
          </cell>
          <cell r="AF114" t="str">
            <v>146.143.010.221</v>
          </cell>
          <cell r="AG114" t="str">
            <v/>
          </cell>
          <cell r="AH114" t="str">
            <v/>
          </cell>
          <cell r="AI114" t="str">
            <v/>
          </cell>
          <cell r="AJ114" t="str">
            <v/>
          </cell>
          <cell r="AK114" t="str">
            <v>WindowsXP(SP2)</v>
          </cell>
          <cell r="AL114" t="str">
            <v>KN-03</v>
          </cell>
          <cell r="AM114" t="str">
            <v/>
          </cell>
          <cell r="AN114" t="str">
            <v>146.143.001.001</v>
          </cell>
          <cell r="AO114" t="str">
            <v/>
          </cell>
          <cell r="AP114" t="str">
            <v/>
          </cell>
          <cell r="AQ114" t="str">
            <v>KNP3B136</v>
          </cell>
          <cell r="AR114" t="str">
            <v>CCIT</v>
          </cell>
          <cell r="AS114" t="str">
            <v/>
          </cell>
          <cell r="AT114" t="str">
            <v/>
          </cell>
          <cell r="AU114" t="str">
            <v/>
          </cell>
          <cell r="AV114" t="str">
            <v/>
          </cell>
          <cell r="AW114" t="str">
            <v/>
          </cell>
          <cell r="AX114" t="str">
            <v/>
          </cell>
          <cell r="AY114" t="str">
            <v/>
          </cell>
          <cell r="AZ114" t="str">
            <v/>
          </cell>
          <cell r="BB114">
            <v>4680</v>
          </cell>
          <cell r="BD114" t="str">
            <v/>
          </cell>
          <cell r="BE114" t="str">
            <v>SafeBoot</v>
          </cell>
        </row>
        <row r="115">
          <cell r="F115">
            <v>18</v>
          </cell>
          <cell r="G115" t="str">
            <v>201.255.061.094</v>
          </cell>
          <cell r="H115" t="str">
            <v/>
          </cell>
          <cell r="I115" t="str">
            <v>KN</v>
          </cell>
          <cell r="J115" t="str">
            <v/>
          </cell>
          <cell r="K115" t="str">
            <v>TG07P0101</v>
          </cell>
          <cell r="L115" t="str">
            <v>ﾊﾟﾅｿﾆｯｸﾒｰｶｰ保守</v>
          </cell>
          <cell r="M115">
            <v>39417</v>
          </cell>
          <cell r="N115">
            <v>40877</v>
          </cell>
          <cell r="Q115" t="str">
            <v/>
          </cell>
          <cell r="R115" t="str">
            <v>PC</v>
          </cell>
          <cell r="S115" t="str">
            <v/>
          </cell>
          <cell r="T115" t="str">
            <v>尼崎</v>
          </cell>
          <cell r="U115" t="str">
            <v>研究開発センター</v>
          </cell>
          <cell r="V115" t="str">
            <v>関西熱化学</v>
          </cell>
          <cell r="W115" t="str">
            <v>研究開発センター</v>
          </cell>
          <cell r="X115" t="str">
            <v>的場  直樹</v>
          </cell>
          <cell r="Y115" t="str">
            <v>KNG4677</v>
          </cell>
          <cell r="Z115" t="str">
            <v/>
          </cell>
          <cell r="AA115" t="str">
            <v>モバイル</v>
          </cell>
          <cell r="AB115" t="str">
            <v>CF-R6</v>
          </cell>
          <cell r="AC115" t="str">
            <v>CF-R6AW1AXS</v>
          </cell>
          <cell r="AD115" t="str">
            <v>7JKSA38211</v>
          </cell>
          <cell r="AE115" t="str">
            <v>リコーIpsio SP C820</v>
          </cell>
          <cell r="AF115" t="str">
            <v>201.255.061.027</v>
          </cell>
          <cell r="AG115" t="str">
            <v>リコーImagio MPC3000</v>
          </cell>
          <cell r="AH115" t="str">
            <v>201.255.061.033</v>
          </cell>
          <cell r="AI115" t="str">
            <v/>
          </cell>
          <cell r="AJ115" t="str">
            <v/>
          </cell>
          <cell r="AK115" t="str">
            <v>WindowsXP(SP2)</v>
          </cell>
          <cell r="AL115" t="str">
            <v>KN-02</v>
          </cell>
          <cell r="AM115" t="str">
            <v/>
          </cell>
          <cell r="AN115" t="str">
            <v>146.143.001.001</v>
          </cell>
          <cell r="AO115" t="str">
            <v>興銀リース</v>
          </cell>
          <cell r="AP115" t="str">
            <v>07-412607</v>
          </cell>
          <cell r="AQ115" t="str">
            <v>KNG61094</v>
          </cell>
          <cell r="AR115" t="str">
            <v>CCIT</v>
          </cell>
          <cell r="AS115" t="str">
            <v/>
          </cell>
          <cell r="AT115" t="str">
            <v/>
          </cell>
          <cell r="AU115" t="str">
            <v/>
          </cell>
          <cell r="AV115" t="str">
            <v/>
          </cell>
          <cell r="AW115" t="str">
            <v/>
          </cell>
          <cell r="AX115" t="str">
            <v/>
          </cell>
          <cell r="AY115" t="str">
            <v/>
          </cell>
          <cell r="AZ115" t="str">
            <v>セキュアIDカード、定額制の請求書先変更は2010/3/1より関西熱化学に。</v>
          </cell>
          <cell r="BA115">
            <v>40232</v>
          </cell>
          <cell r="BB115">
            <v>4439</v>
          </cell>
          <cell r="BD115" t="str">
            <v/>
          </cell>
          <cell r="BE115" t="str">
            <v>Safeboot</v>
          </cell>
        </row>
        <row r="116">
          <cell r="F116">
            <v>81</v>
          </cell>
          <cell r="G116" t="str">
            <v>201.255.061.151</v>
          </cell>
          <cell r="H116" t="str">
            <v/>
          </cell>
          <cell r="I116" t="str">
            <v>KN</v>
          </cell>
          <cell r="J116" t="str">
            <v/>
          </cell>
          <cell r="K116" t="str">
            <v>TG07P0101</v>
          </cell>
          <cell r="L116" t="str">
            <v>ﾊﾟﾅｿﾆｯｸﾒｰｶｰ保守</v>
          </cell>
          <cell r="M116">
            <v>39417</v>
          </cell>
          <cell r="N116">
            <v>40877</v>
          </cell>
          <cell r="Q116" t="str">
            <v/>
          </cell>
          <cell r="R116" t="str">
            <v>PC</v>
          </cell>
          <cell r="S116" t="str">
            <v/>
          </cell>
          <cell r="T116" t="str">
            <v>尼崎</v>
          </cell>
          <cell r="U116" t="str">
            <v>研究開発センター</v>
          </cell>
          <cell r="V116" t="str">
            <v>関西熱化学</v>
          </cell>
          <cell r="W116" t="str">
            <v>新館２Ｆ事務所</v>
          </cell>
          <cell r="X116" t="str">
            <v>大田　晃平</v>
          </cell>
          <cell r="Y116" t="str">
            <v>KNG4702</v>
          </cell>
          <cell r="Z116" t="str">
            <v/>
          </cell>
          <cell r="AA116" t="str">
            <v>モバイル</v>
          </cell>
          <cell r="AB116" t="str">
            <v>CF-R6</v>
          </cell>
          <cell r="AC116" t="str">
            <v>CF-R6AW1AXS</v>
          </cell>
          <cell r="AD116" t="str">
            <v>7JKSA37983</v>
          </cell>
          <cell r="AE116" t="str">
            <v>リコーIpsio SP C820</v>
          </cell>
          <cell r="AF116" t="str">
            <v>201.255.061.027</v>
          </cell>
          <cell r="AG116" t="str">
            <v>リコーImagio MPC3000</v>
          </cell>
          <cell r="AH116" t="str">
            <v>201.255.061.033</v>
          </cell>
          <cell r="AI116" t="str">
            <v/>
          </cell>
          <cell r="AJ116" t="str">
            <v/>
          </cell>
          <cell r="AK116" t="str">
            <v>WindowsXP(SP2)</v>
          </cell>
          <cell r="AL116" t="str">
            <v>KN-02</v>
          </cell>
          <cell r="AM116" t="str">
            <v/>
          </cell>
          <cell r="AN116" t="str">
            <v>201.255.061.001</v>
          </cell>
          <cell r="AO116" t="str">
            <v>興銀リース</v>
          </cell>
          <cell r="AP116" t="str">
            <v>07-412607</v>
          </cell>
          <cell r="AQ116" t="str">
            <v>KNG61151</v>
          </cell>
          <cell r="AR116" t="str">
            <v>CCIT</v>
          </cell>
          <cell r="AS116" t="str">
            <v/>
          </cell>
          <cell r="AT116" t="str">
            <v/>
          </cell>
          <cell r="AU116" t="str">
            <v/>
          </cell>
          <cell r="AV116" t="str">
            <v/>
          </cell>
          <cell r="AW116" t="str">
            <v/>
          </cell>
          <cell r="AX116" t="str">
            <v/>
          </cell>
          <cell r="AY116" t="str">
            <v/>
          </cell>
          <cell r="AZ116" t="str">
            <v/>
          </cell>
          <cell r="BB116">
            <v>4439</v>
          </cell>
          <cell r="BD116" t="str">
            <v/>
          </cell>
          <cell r="BE116" t="str">
            <v>SafeBoot</v>
          </cell>
        </row>
        <row r="117">
          <cell r="F117">
            <v>80</v>
          </cell>
          <cell r="G117" t="str">
            <v>146.143.010.036</v>
          </cell>
          <cell r="H117" t="str">
            <v/>
          </cell>
          <cell r="I117" t="str">
            <v>KN</v>
          </cell>
          <cell r="J117" t="str">
            <v/>
          </cell>
          <cell r="K117" t="str">
            <v>TG07P0101</v>
          </cell>
          <cell r="L117" t="str">
            <v>ﾊﾟﾅｿﾆｯｸﾒｰｶｰ保守</v>
          </cell>
          <cell r="M117">
            <v>39417</v>
          </cell>
          <cell r="N117">
            <v>40877</v>
          </cell>
          <cell r="Q117" t="str">
            <v/>
          </cell>
          <cell r="R117" t="str">
            <v>PC</v>
          </cell>
          <cell r="S117" t="str">
            <v/>
          </cell>
          <cell r="T117" t="str">
            <v>尼崎</v>
          </cell>
          <cell r="U117" t="str">
            <v>研究開発センター</v>
          </cell>
          <cell r="V117" t="str">
            <v>関西熱化学</v>
          </cell>
          <cell r="W117" t="str">
            <v>新館２Ｆ事務所</v>
          </cell>
          <cell r="X117" t="str">
            <v>西端　裕子</v>
          </cell>
          <cell r="Y117" t="str">
            <v>KNG4703</v>
          </cell>
          <cell r="Z117" t="str">
            <v/>
          </cell>
          <cell r="AA117" t="str">
            <v>モバイル</v>
          </cell>
          <cell r="AB117" t="str">
            <v>CF-R6</v>
          </cell>
          <cell r="AC117" t="str">
            <v>CF-R6AW1AXS</v>
          </cell>
          <cell r="AD117" t="str">
            <v>7JKSA38194</v>
          </cell>
          <cell r="AE117" t="str">
            <v>リコーImagio MPC3000</v>
          </cell>
          <cell r="AF117" t="str">
            <v>146.143.010.234</v>
          </cell>
          <cell r="AG117" t="str">
            <v/>
          </cell>
          <cell r="AH117" t="str">
            <v/>
          </cell>
          <cell r="AI117" t="str">
            <v/>
          </cell>
          <cell r="AJ117" t="str">
            <v/>
          </cell>
          <cell r="AK117" t="str">
            <v>WindowsXP(SP2)</v>
          </cell>
          <cell r="AL117" t="str">
            <v>KN-02</v>
          </cell>
          <cell r="AM117" t="str">
            <v/>
          </cell>
          <cell r="AN117" t="str">
            <v>201.255.061.001</v>
          </cell>
          <cell r="AO117" t="str">
            <v>興銀リース</v>
          </cell>
          <cell r="AP117" t="str">
            <v>07-412607</v>
          </cell>
          <cell r="AQ117" t="str">
            <v>KNP3B036</v>
          </cell>
          <cell r="AR117" t="str">
            <v>CCIT</v>
          </cell>
          <cell r="AS117" t="str">
            <v/>
          </cell>
          <cell r="AT117" t="str">
            <v/>
          </cell>
          <cell r="AU117" t="str">
            <v/>
          </cell>
          <cell r="AV117" t="str">
            <v/>
          </cell>
          <cell r="AW117" t="str">
            <v/>
          </cell>
          <cell r="AX117" t="str">
            <v/>
          </cell>
          <cell r="AY117" t="str">
            <v/>
          </cell>
          <cell r="AZ117" t="str">
            <v/>
          </cell>
          <cell r="BB117">
            <v>4439</v>
          </cell>
          <cell r="BD117" t="str">
            <v/>
          </cell>
          <cell r="BE117" t="str">
            <v>SafeBoot</v>
          </cell>
        </row>
        <row r="118">
          <cell r="F118">
            <v>58</v>
          </cell>
          <cell r="G118" t="str">
            <v>201.255.011.090</v>
          </cell>
          <cell r="H118" t="str">
            <v/>
          </cell>
          <cell r="I118" t="str">
            <v>RSI</v>
          </cell>
          <cell r="J118" t="str">
            <v/>
          </cell>
          <cell r="K118" t="str">
            <v/>
          </cell>
          <cell r="L118" t="str">
            <v>ﾊﾟﾅｿﾆｯｸﾒｰｶｰ保守</v>
          </cell>
          <cell r="M118">
            <v>39600</v>
          </cell>
          <cell r="N118">
            <v>41060</v>
          </cell>
          <cell r="Q118" t="str">
            <v/>
          </cell>
          <cell r="R118" t="str">
            <v>PC</v>
          </cell>
          <cell r="S118" t="str">
            <v>無線</v>
          </cell>
          <cell r="T118" t="str">
            <v>尼崎</v>
          </cell>
          <cell r="U118" t="str">
            <v>本社</v>
          </cell>
          <cell r="V118" t="str">
            <v>関西熱化学</v>
          </cell>
          <cell r="W118" t="str">
            <v>経営企画部　企画</v>
          </cell>
          <cell r="X118" t="str">
            <v>松山　哲也</v>
          </cell>
          <cell r="Y118" t="str">
            <v>KNG4705</v>
          </cell>
          <cell r="Z118" t="str">
            <v/>
          </cell>
          <cell r="AA118" t="str">
            <v>モバイル</v>
          </cell>
          <cell r="AB118" t="str">
            <v>CF-R7</v>
          </cell>
          <cell r="AC118" t="str">
            <v>CF-R7CW5AXS</v>
          </cell>
          <cell r="AD118" t="str">
            <v>8DKSA25983</v>
          </cell>
          <cell r="AE118" t="str">
            <v>リコーImagio MPC3500</v>
          </cell>
          <cell r="AF118" t="str">
            <v>201.255.011.030</v>
          </cell>
          <cell r="AG118" t="str">
            <v/>
          </cell>
          <cell r="AH118" t="str">
            <v/>
          </cell>
          <cell r="AI118" t="str">
            <v/>
          </cell>
          <cell r="AJ118" t="str">
            <v/>
          </cell>
          <cell r="AK118" t="str">
            <v>WindowsXP(SP2)</v>
          </cell>
          <cell r="AL118" t="str">
            <v>KN-01</v>
          </cell>
          <cell r="AM118" t="str">
            <v/>
          </cell>
          <cell r="AN118" t="str">
            <v>201.255.001.001</v>
          </cell>
          <cell r="AO118" t="str">
            <v/>
          </cell>
          <cell r="AP118" t="str">
            <v/>
          </cell>
          <cell r="AQ118" t="str">
            <v>KNG11090</v>
          </cell>
          <cell r="AR118" t="str">
            <v>CCIT</v>
          </cell>
          <cell r="AS118" t="str">
            <v/>
          </cell>
          <cell r="AT118" t="str">
            <v/>
          </cell>
          <cell r="AU118" t="str">
            <v/>
          </cell>
          <cell r="AV118" t="str">
            <v/>
          </cell>
          <cell r="AW118" t="str">
            <v/>
          </cell>
          <cell r="AX118" t="str">
            <v/>
          </cell>
          <cell r="AY118" t="str">
            <v/>
          </cell>
          <cell r="AZ118" t="str">
            <v>DELL 17ｲﾝﾁTFT液晶ﾓﾆﾀ(E170S)、ﾛｼﾞｸｰﾙ ｸﾗｼｯｸｷｰﾎﾞｰﾄﾞ 200ﾌﾞﾗｯｸ</v>
          </cell>
          <cell r="BA118">
            <v>38999</v>
          </cell>
          <cell r="BB118">
            <v>4680</v>
          </cell>
          <cell r="BD118" t="str">
            <v/>
          </cell>
          <cell r="BE118" t="str">
            <v>SafeBoot</v>
          </cell>
        </row>
        <row r="119">
          <cell r="F119">
            <v>128</v>
          </cell>
          <cell r="G119" t="str">
            <v>201.255.011.112</v>
          </cell>
          <cell r="H119" t="str">
            <v/>
          </cell>
          <cell r="I119" t="str">
            <v>KN</v>
          </cell>
          <cell r="J119" t="str">
            <v/>
          </cell>
          <cell r="K119" t="str">
            <v>TG07P0086</v>
          </cell>
          <cell r="L119" t="str">
            <v>第３者保守</v>
          </cell>
          <cell r="M119">
            <v>39356</v>
          </cell>
          <cell r="N119">
            <v>40816</v>
          </cell>
          <cell r="Q119" t="str">
            <v/>
          </cell>
          <cell r="R119" t="str">
            <v>PC</v>
          </cell>
          <cell r="S119" t="str">
            <v>無線</v>
          </cell>
          <cell r="T119" t="str">
            <v>尼崎</v>
          </cell>
          <cell r="U119" t="str">
            <v>本社</v>
          </cell>
          <cell r="V119" t="str">
            <v>関西熱化学</v>
          </cell>
          <cell r="W119" t="str">
            <v>総務人事部</v>
          </cell>
          <cell r="X119" t="str">
            <v>溝下　裕香</v>
          </cell>
          <cell r="Y119" t="str">
            <v>KNG4707</v>
          </cell>
          <cell r="Z119" t="str">
            <v/>
          </cell>
          <cell r="AA119" t="str">
            <v>Safeboot</v>
          </cell>
          <cell r="AB119" t="str">
            <v>ThinkPad R60e</v>
          </cell>
          <cell r="AC119" t="str">
            <v>0658-BJ6</v>
          </cell>
          <cell r="AD119" t="str">
            <v>L3-GC337</v>
          </cell>
          <cell r="AE119" t="str">
            <v>リコーImagio MPC3000</v>
          </cell>
          <cell r="AF119" t="str">
            <v>201.255.011.024</v>
          </cell>
          <cell r="AG119" t="str">
            <v>リコーIpsio SP 6220</v>
          </cell>
          <cell r="AH119" t="str">
            <v>201.255.011.029</v>
          </cell>
          <cell r="AI119" t="str">
            <v/>
          </cell>
          <cell r="AJ119" t="str">
            <v/>
          </cell>
          <cell r="AK119" t="str">
            <v>WindowsXP(SP2)</v>
          </cell>
          <cell r="AL119" t="str">
            <v>KN-01</v>
          </cell>
          <cell r="AM119" t="str">
            <v/>
          </cell>
          <cell r="AN119" t="str">
            <v>201.255.011.001</v>
          </cell>
          <cell r="AO119" t="str">
            <v>ｾﾝﾁｭﾘｰ・ﾘｰｼﾝｸﾞ・ｼｽﾃﾑ</v>
          </cell>
          <cell r="AP119" t="str">
            <v>L07107062</v>
          </cell>
          <cell r="AQ119" t="str">
            <v>KNG11112</v>
          </cell>
          <cell r="AR119" t="str">
            <v>CCIT</v>
          </cell>
          <cell r="AS119" t="str">
            <v/>
          </cell>
          <cell r="AT119" t="str">
            <v/>
          </cell>
          <cell r="AU119" t="str">
            <v/>
          </cell>
          <cell r="AV119" t="str">
            <v/>
          </cell>
          <cell r="AW119" t="str">
            <v/>
          </cell>
          <cell r="AX119" t="str">
            <v/>
          </cell>
          <cell r="AY119" t="str">
            <v/>
          </cell>
          <cell r="AZ119" t="str">
            <v>2009/07/29バッテリー不良の為交換8/3バッテリ不良の為再交換</v>
          </cell>
          <cell r="BC119">
            <v>800</v>
          </cell>
          <cell r="BD119" t="str">
            <v/>
          </cell>
          <cell r="BE119" t="str">
            <v>SafeBoot</v>
          </cell>
        </row>
        <row r="120">
          <cell r="F120">
            <v>138</v>
          </cell>
          <cell r="G120" t="str">
            <v>201.255.041.160</v>
          </cell>
          <cell r="H120" t="str">
            <v/>
          </cell>
          <cell r="I120" t="str">
            <v>KNE</v>
          </cell>
          <cell r="J120" t="str">
            <v/>
          </cell>
          <cell r="K120" t="str">
            <v>TG07P0013</v>
          </cell>
          <cell r="L120" t="str">
            <v>第３者保守</v>
          </cell>
          <cell r="M120">
            <v>39114</v>
          </cell>
          <cell r="N120">
            <v>40574</v>
          </cell>
          <cell r="Q120" t="str">
            <v/>
          </cell>
          <cell r="R120" t="str">
            <v>PC</v>
          </cell>
          <cell r="S120" t="str">
            <v/>
          </cell>
          <cell r="T120" t="str">
            <v>尼崎</v>
          </cell>
          <cell r="U120" t="str">
            <v>北門</v>
          </cell>
          <cell r="V120" t="str">
            <v>ＫＮエンタープライズ</v>
          </cell>
          <cell r="W120" t="str">
            <v>不動産総合サービス事業部　
：尼崎事業所　不動産担当　
：武庫川（寮）</v>
          </cell>
          <cell r="X120" t="str">
            <v>三浦　秀昭</v>
          </cell>
          <cell r="Y120" t="str">
            <v>KNG4740</v>
          </cell>
          <cell r="Z120" t="str">
            <v/>
          </cell>
          <cell r="AA120" t="str">
            <v>モバイル</v>
          </cell>
          <cell r="AB120" t="str">
            <v>ThinkPad R60e</v>
          </cell>
          <cell r="AC120" t="str">
            <v>0658-AJ5</v>
          </cell>
          <cell r="AD120" t="str">
            <v>L3-F6155</v>
          </cell>
          <cell r="AE120" t="str">
            <v>EPSON PM-3500C</v>
          </cell>
          <cell r="AF120" t="str">
            <v>ローカル接続　CZAKZ00169</v>
          </cell>
          <cell r="AG120" t="str">
            <v/>
          </cell>
          <cell r="AH120" t="str">
            <v/>
          </cell>
          <cell r="AI120" t="str">
            <v/>
          </cell>
          <cell r="AJ120" t="str">
            <v/>
          </cell>
          <cell r="AK120" t="str">
            <v>WindowsXP(SP2)</v>
          </cell>
          <cell r="AL120" t="str">
            <v>KNE-不ｻｰﾋﾞｽ</v>
          </cell>
          <cell r="AM120" t="str">
            <v/>
          </cell>
          <cell r="AN120" t="str">
            <v>201.255.041.001</v>
          </cell>
          <cell r="AO120" t="str">
            <v>協同リース</v>
          </cell>
          <cell r="AP120" t="str">
            <v>A6821167</v>
          </cell>
          <cell r="AQ120" t="str">
            <v>KNG41160</v>
          </cell>
          <cell r="AR120" t="str">
            <v>CCIT</v>
          </cell>
          <cell r="AS120" t="str">
            <v/>
          </cell>
          <cell r="AT120" t="str">
            <v/>
          </cell>
          <cell r="AU120" t="str">
            <v/>
          </cell>
          <cell r="AV120" t="str">
            <v/>
          </cell>
          <cell r="AW120" t="str">
            <v/>
          </cell>
          <cell r="AX120" t="str">
            <v/>
          </cell>
          <cell r="AY120" t="str">
            <v/>
          </cell>
          <cell r="AZ120" t="str">
            <v>三浦　克子(KNG4741)</v>
          </cell>
          <cell r="BC120">
            <v>800</v>
          </cell>
          <cell r="BD120" t="str">
            <v/>
          </cell>
          <cell r="BE120" t="str">
            <v>SafeBoot</v>
          </cell>
        </row>
        <row r="121">
          <cell r="F121">
            <v>33</v>
          </cell>
          <cell r="G121" t="str">
            <v>201.255.011.079</v>
          </cell>
          <cell r="H121" t="str">
            <v/>
          </cell>
          <cell r="I121" t="str">
            <v>KN</v>
          </cell>
          <cell r="J121" t="str">
            <v/>
          </cell>
          <cell r="K121" t="str">
            <v>TG07P0083</v>
          </cell>
          <cell r="L121" t="str">
            <v>第３者保守</v>
          </cell>
          <cell r="M121">
            <v>39356</v>
          </cell>
          <cell r="N121">
            <v>40816</v>
          </cell>
          <cell r="Q121" t="str">
            <v/>
          </cell>
          <cell r="R121" t="str">
            <v>PC</v>
          </cell>
          <cell r="S121" t="str">
            <v/>
          </cell>
          <cell r="T121" t="str">
            <v>尼崎</v>
          </cell>
          <cell r="U121" t="str">
            <v>本社</v>
          </cell>
          <cell r="V121" t="str">
            <v>関西熱化学</v>
          </cell>
          <cell r="W121" t="str">
            <v>社長</v>
          </cell>
          <cell r="X121" t="str">
            <v>林　　克介</v>
          </cell>
          <cell r="Y121" t="str">
            <v>KNG4756</v>
          </cell>
          <cell r="Z121">
            <v>1</v>
          </cell>
          <cell r="AA121" t="str">
            <v>モバイル</v>
          </cell>
          <cell r="AB121" t="str">
            <v>ThinkPad X60s</v>
          </cell>
          <cell r="AC121" t="str">
            <v>1702-EJ2</v>
          </cell>
          <cell r="AD121" t="str">
            <v>LV-M1349</v>
          </cell>
          <cell r="AE121" t="str">
            <v>EPSON PM-3500C</v>
          </cell>
          <cell r="AF121" t="str">
            <v>顧問室にローカル接続</v>
          </cell>
          <cell r="AG121" t="str">
            <v>リコーImagio MPC3000</v>
          </cell>
          <cell r="AH121" t="str">
            <v>201.255.011.024</v>
          </cell>
          <cell r="AI121" t="str">
            <v/>
          </cell>
          <cell r="AJ121" t="str">
            <v/>
          </cell>
          <cell r="AK121" t="str">
            <v>WindowsXP(SP2)</v>
          </cell>
          <cell r="AL121" t="str">
            <v>KN-01</v>
          </cell>
          <cell r="AM121" t="str">
            <v/>
          </cell>
          <cell r="AN121" t="str">
            <v>201.255.011.001</v>
          </cell>
          <cell r="AO121" t="str">
            <v>興銀リース</v>
          </cell>
          <cell r="AP121" t="str">
            <v>07-411372</v>
          </cell>
          <cell r="AQ121" t="str">
            <v>KNG11079</v>
          </cell>
          <cell r="AR121" t="str">
            <v>CCIT</v>
          </cell>
          <cell r="AS121" t="str">
            <v/>
          </cell>
          <cell r="AT121" t="str">
            <v/>
          </cell>
          <cell r="AU121" t="str">
            <v/>
          </cell>
          <cell r="AV121" t="str">
            <v/>
          </cell>
          <cell r="AW121" t="str">
            <v/>
          </cell>
          <cell r="AX121" t="str">
            <v/>
          </cell>
          <cell r="AY121" t="str">
            <v/>
          </cell>
          <cell r="AZ121" t="str">
            <v/>
          </cell>
          <cell r="BC121">
            <v>800</v>
          </cell>
          <cell r="BD121" t="str">
            <v/>
          </cell>
          <cell r="BE121" t="str">
            <v>SafeBoot</v>
          </cell>
        </row>
        <row r="122">
          <cell r="F122">
            <v>129</v>
          </cell>
          <cell r="G122" t="str">
            <v>201.255.011.109</v>
          </cell>
          <cell r="H122" t="str">
            <v/>
          </cell>
          <cell r="I122" t="str">
            <v>KN</v>
          </cell>
          <cell r="J122" t="str">
            <v/>
          </cell>
          <cell r="K122" t="str">
            <v>TG07P0001</v>
          </cell>
          <cell r="L122" t="str">
            <v>DELLメーカー保守</v>
          </cell>
          <cell r="M122">
            <v>39083</v>
          </cell>
          <cell r="N122">
            <v>40543</v>
          </cell>
          <cell r="Q122" t="str">
            <v/>
          </cell>
          <cell r="R122" t="str">
            <v>PC</v>
          </cell>
          <cell r="S122" t="str">
            <v/>
          </cell>
          <cell r="T122" t="str">
            <v>尼崎</v>
          </cell>
          <cell r="U122" t="str">
            <v>本社</v>
          </cell>
          <cell r="V122" t="str">
            <v>関西熱化学</v>
          </cell>
          <cell r="W122" t="str">
            <v>社長</v>
          </cell>
          <cell r="X122" t="str">
            <v>林　克介</v>
          </cell>
          <cell r="Y122" t="str">
            <v>KNG4756</v>
          </cell>
          <cell r="Z122" t="str">
            <v/>
          </cell>
          <cell r="AA122" t="str">
            <v>Safeboot</v>
          </cell>
          <cell r="AB122" t="str">
            <v>DELL OptiplexGX520</v>
          </cell>
          <cell r="AC122" t="str">
            <v/>
          </cell>
          <cell r="AD122" t="str">
            <v>647</v>
          </cell>
          <cell r="AE122" t="str">
            <v>EPSON PM-3500C</v>
          </cell>
          <cell r="AF122" t="str">
            <v>顧問室にローカル接続</v>
          </cell>
          <cell r="AG122" t="str">
            <v>リコーImagio MPC3000</v>
          </cell>
          <cell r="AH122" t="str">
            <v>201.255.011.024</v>
          </cell>
          <cell r="AI122" t="str">
            <v/>
          </cell>
          <cell r="AJ122" t="str">
            <v/>
          </cell>
          <cell r="AK122" t="str">
            <v>WindowsXP(SP2)</v>
          </cell>
          <cell r="AL122" t="str">
            <v>KN-01</v>
          </cell>
          <cell r="AM122" t="str">
            <v/>
          </cell>
          <cell r="AN122" t="str">
            <v>201.255.011.001</v>
          </cell>
          <cell r="AO122" t="str">
            <v>興銀リース</v>
          </cell>
          <cell r="AP122" t="str">
            <v>06-410459</v>
          </cell>
          <cell r="AQ122" t="str">
            <v>KNG11109</v>
          </cell>
          <cell r="AR122" t="str">
            <v>CCIT</v>
          </cell>
          <cell r="AS122" t="str">
            <v/>
          </cell>
          <cell r="AT122" t="str">
            <v/>
          </cell>
          <cell r="AU122" t="str">
            <v/>
          </cell>
          <cell r="AV122" t="str">
            <v/>
          </cell>
          <cell r="AW122" t="str">
            <v/>
          </cell>
          <cell r="AX122" t="str">
            <v/>
          </cell>
          <cell r="AY122" t="str">
            <v/>
          </cell>
          <cell r="AZ122" t="str">
            <v>19インチTFTモニタを使用している。セットの15インチTFTモニタは計算機室に保管（ＧＸ520付属モニタと記載）</v>
          </cell>
          <cell r="BB122">
            <v>2450</v>
          </cell>
          <cell r="BD122" t="str">
            <v/>
          </cell>
          <cell r="BE122" t="str">
            <v>SafeBoot</v>
          </cell>
        </row>
        <row r="123">
          <cell r="F123">
            <v>8</v>
          </cell>
          <cell r="G123" t="str">
            <v>201.255.011.051</v>
          </cell>
          <cell r="H123" t="str">
            <v/>
          </cell>
          <cell r="I123" t="str">
            <v>KN</v>
          </cell>
          <cell r="J123" t="str">
            <v/>
          </cell>
          <cell r="K123" t="str">
            <v>TG07P0071</v>
          </cell>
          <cell r="L123" t="str">
            <v>ﾊﾟﾅｿﾆｯｸﾒｰｶｰ保守</v>
          </cell>
          <cell r="M123">
            <v>39295</v>
          </cell>
          <cell r="N123">
            <v>40755</v>
          </cell>
          <cell r="Q123" t="str">
            <v/>
          </cell>
          <cell r="R123" t="str">
            <v>PC</v>
          </cell>
          <cell r="S123" t="str">
            <v/>
          </cell>
          <cell r="T123" t="str">
            <v>尼崎</v>
          </cell>
          <cell r="U123" t="str">
            <v>本社</v>
          </cell>
          <cell r="V123" t="str">
            <v>関西熱化学</v>
          </cell>
          <cell r="W123" t="str">
            <v>ＣＳＲ推進部</v>
          </cell>
          <cell r="X123" t="str">
            <v>金子　統</v>
          </cell>
          <cell r="Y123" t="str">
            <v>KNG4783</v>
          </cell>
          <cell r="Z123">
            <v>1</v>
          </cell>
          <cell r="AA123" t="str">
            <v>モバイル</v>
          </cell>
          <cell r="AB123" t="str">
            <v>CF-R6</v>
          </cell>
          <cell r="AC123" t="str">
            <v>CF-R6MW4AXS</v>
          </cell>
          <cell r="AD123" t="str">
            <v>7EKSA18265</v>
          </cell>
          <cell r="AE123" t="str">
            <v/>
          </cell>
          <cell r="AF123" t="str">
            <v/>
          </cell>
          <cell r="AG123" t="str">
            <v/>
          </cell>
          <cell r="AH123" t="str">
            <v/>
          </cell>
          <cell r="AI123" t="str">
            <v/>
          </cell>
          <cell r="AJ123" t="str">
            <v/>
          </cell>
          <cell r="AK123" t="str">
            <v>WindowsXP(SP2)</v>
          </cell>
          <cell r="AL123" t="str">
            <v>KN-01</v>
          </cell>
          <cell r="AM123" t="str">
            <v/>
          </cell>
          <cell r="AN123" t="str">
            <v>201.255.011.001</v>
          </cell>
          <cell r="AO123" t="str">
            <v>ｾﾝﾁｭﾘｰ・ﾘｰｼﾝｸﾞ・ｼｽﾃﾑ</v>
          </cell>
          <cell r="AP123" t="str">
            <v>L07078934</v>
          </cell>
          <cell r="AQ123" t="str">
            <v>KNG11051</v>
          </cell>
          <cell r="AR123" t="str">
            <v>CCIT</v>
          </cell>
          <cell r="AS123" t="str">
            <v/>
          </cell>
          <cell r="AT123" t="str">
            <v/>
          </cell>
          <cell r="AU123" t="str">
            <v/>
          </cell>
          <cell r="AV123" t="str">
            <v/>
          </cell>
          <cell r="AW123" t="str">
            <v/>
          </cell>
          <cell r="AX123" t="str">
            <v/>
          </cell>
          <cell r="AY123" t="str">
            <v/>
          </cell>
          <cell r="AZ123" t="str">
            <v/>
          </cell>
          <cell r="BB123">
            <v>5017</v>
          </cell>
          <cell r="BD123" t="str">
            <v/>
          </cell>
          <cell r="BE123" t="str">
            <v>SafeBoot</v>
          </cell>
        </row>
        <row r="124">
          <cell r="F124">
            <v>25</v>
          </cell>
          <cell r="G124" t="str">
            <v>201.255.011.091</v>
          </cell>
          <cell r="H124" t="str">
            <v/>
          </cell>
          <cell r="I124" t="str">
            <v>KN</v>
          </cell>
          <cell r="J124" t="str">
            <v/>
          </cell>
          <cell r="K124" t="str">
            <v>TG07P0048</v>
          </cell>
          <cell r="L124" t="str">
            <v>第３者保守</v>
          </cell>
          <cell r="M124">
            <v>39234</v>
          </cell>
          <cell r="N124">
            <v>40694</v>
          </cell>
          <cell r="Q124" t="str">
            <v/>
          </cell>
          <cell r="R124" t="str">
            <v>PC</v>
          </cell>
          <cell r="S124" t="str">
            <v>無線</v>
          </cell>
          <cell r="T124" t="str">
            <v>尼崎</v>
          </cell>
          <cell r="U124" t="str">
            <v>本社</v>
          </cell>
          <cell r="V124" t="str">
            <v>関西熱化学</v>
          </cell>
          <cell r="W124" t="str">
            <v>ＣＳＲ推進部</v>
          </cell>
          <cell r="X124" t="str">
            <v>金子　統</v>
          </cell>
          <cell r="Y124" t="str">
            <v>KNG4783</v>
          </cell>
          <cell r="Z124" t="str">
            <v/>
          </cell>
          <cell r="AA124" t="str">
            <v>Safeboot</v>
          </cell>
          <cell r="AB124" t="str">
            <v>ThinkPad R60e</v>
          </cell>
          <cell r="AC124" t="str">
            <v>0658-BJ6</v>
          </cell>
          <cell r="AD124" t="str">
            <v>L3-DD842</v>
          </cell>
          <cell r="AE124" t="str">
            <v>リコーImagio MPC3500</v>
          </cell>
          <cell r="AF124" t="str">
            <v>201.255.011.030</v>
          </cell>
          <cell r="AG124" t="str">
            <v>リコーImagio MPC3000</v>
          </cell>
          <cell r="AH124" t="str">
            <v>201.255.011.027</v>
          </cell>
          <cell r="AI124" t="str">
            <v/>
          </cell>
          <cell r="AJ124" t="str">
            <v/>
          </cell>
          <cell r="AK124" t="str">
            <v>WindowsXP(SP2)</v>
          </cell>
          <cell r="AL124" t="str">
            <v>KN-01</v>
          </cell>
          <cell r="AM124" t="str">
            <v/>
          </cell>
          <cell r="AN124" t="str">
            <v>201.255.011.001</v>
          </cell>
          <cell r="AO124" t="str">
            <v>興銀リース</v>
          </cell>
          <cell r="AP124" t="str">
            <v>07-408413</v>
          </cell>
          <cell r="AQ124" t="str">
            <v>KNG11091</v>
          </cell>
          <cell r="AR124" t="str">
            <v>CCIT</v>
          </cell>
          <cell r="AS124" t="str">
            <v/>
          </cell>
          <cell r="AT124" t="str">
            <v/>
          </cell>
          <cell r="AU124" t="str">
            <v/>
          </cell>
          <cell r="AV124" t="str">
            <v/>
          </cell>
          <cell r="AW124" t="str">
            <v/>
          </cell>
          <cell r="AX124" t="str">
            <v/>
          </cell>
          <cell r="AY124" t="str">
            <v/>
          </cell>
          <cell r="AZ124" t="str">
            <v/>
          </cell>
          <cell r="BC124">
            <v>800</v>
          </cell>
          <cell r="BD124" t="str">
            <v/>
          </cell>
          <cell r="BE124" t="str">
            <v>SafeBoot</v>
          </cell>
        </row>
        <row r="125">
          <cell r="F125">
            <v>127</v>
          </cell>
          <cell r="G125" t="str">
            <v>201.255.011.113</v>
          </cell>
          <cell r="H125" t="str">
            <v/>
          </cell>
          <cell r="I125" t="str">
            <v>RSI</v>
          </cell>
          <cell r="J125" t="str">
            <v/>
          </cell>
          <cell r="K125" t="str">
            <v/>
          </cell>
          <cell r="L125" t="str">
            <v>第３者保守</v>
          </cell>
          <cell r="M125">
            <v>39569</v>
          </cell>
          <cell r="N125">
            <v>41029</v>
          </cell>
          <cell r="Q125" t="str">
            <v/>
          </cell>
          <cell r="R125" t="str">
            <v>PC</v>
          </cell>
          <cell r="S125" t="str">
            <v>無線</v>
          </cell>
          <cell r="T125" t="str">
            <v>尼崎</v>
          </cell>
          <cell r="U125" t="str">
            <v>本社</v>
          </cell>
          <cell r="V125" t="str">
            <v>関西熱化学</v>
          </cell>
          <cell r="W125" t="str">
            <v>総務人事部</v>
          </cell>
          <cell r="X125" t="str">
            <v>獅子島　優子</v>
          </cell>
          <cell r="Y125" t="str">
            <v>KNG4820</v>
          </cell>
          <cell r="Z125" t="str">
            <v/>
          </cell>
          <cell r="AA125" t="str">
            <v>Safeboot</v>
          </cell>
          <cell r="AB125" t="str">
            <v>ThinkPad R61e</v>
          </cell>
          <cell r="AC125" t="str">
            <v>7649-3YJ</v>
          </cell>
          <cell r="AD125" t="str">
            <v>L3-G2943</v>
          </cell>
          <cell r="AE125" t="str">
            <v>リコーImagio MPC3000</v>
          </cell>
          <cell r="AF125" t="str">
            <v>201.255.011.024</v>
          </cell>
          <cell r="AG125" t="str">
            <v>リコーIpsio SP 6220</v>
          </cell>
          <cell r="AH125" t="str">
            <v>201.255.011.029</v>
          </cell>
          <cell r="AI125" t="str">
            <v/>
          </cell>
          <cell r="AJ125" t="str">
            <v/>
          </cell>
          <cell r="AK125" t="str">
            <v>WindowsXP(SP2)</v>
          </cell>
          <cell r="AL125" t="str">
            <v>KN-01</v>
          </cell>
          <cell r="AM125" t="str">
            <v/>
          </cell>
          <cell r="AN125" t="str">
            <v>201.255.011.001</v>
          </cell>
          <cell r="AO125" t="str">
            <v/>
          </cell>
          <cell r="AP125" t="str">
            <v/>
          </cell>
          <cell r="AQ125" t="str">
            <v>KNG11113</v>
          </cell>
          <cell r="AR125" t="str">
            <v>CCIT</v>
          </cell>
          <cell r="AS125" t="str">
            <v/>
          </cell>
          <cell r="AT125" t="str">
            <v/>
          </cell>
          <cell r="AU125" t="str">
            <v/>
          </cell>
          <cell r="AV125" t="str">
            <v/>
          </cell>
          <cell r="AW125" t="str">
            <v/>
          </cell>
          <cell r="AX125" t="str">
            <v/>
          </cell>
          <cell r="AY125" t="str">
            <v/>
          </cell>
          <cell r="AZ125" t="str">
            <v/>
          </cell>
          <cell r="BB125">
            <v>3040</v>
          </cell>
          <cell r="BC125">
            <v>800</v>
          </cell>
          <cell r="BD125" t="str">
            <v/>
          </cell>
          <cell r="BE125" t="str">
            <v>SafeBoot</v>
          </cell>
        </row>
        <row r="126">
          <cell r="F126">
            <v>49</v>
          </cell>
          <cell r="G126" t="str">
            <v>146.143.010.188</v>
          </cell>
          <cell r="H126" t="str">
            <v/>
          </cell>
          <cell r="I126" t="str">
            <v>KN</v>
          </cell>
          <cell r="J126" t="str">
            <v/>
          </cell>
          <cell r="K126" t="str">
            <v>TG07P0084</v>
          </cell>
          <cell r="L126" t="str">
            <v>第３者保守</v>
          </cell>
          <cell r="M126">
            <v>39356</v>
          </cell>
          <cell r="N126">
            <v>40816</v>
          </cell>
          <cell r="Q126" t="str">
            <v/>
          </cell>
          <cell r="R126" t="str">
            <v>PC</v>
          </cell>
          <cell r="S126" t="str">
            <v/>
          </cell>
          <cell r="T126" t="str">
            <v>加古川</v>
          </cell>
          <cell r="U126" t="str">
            <v>加古川工場</v>
          </cell>
          <cell r="V126" t="str">
            <v>関西熱化学</v>
          </cell>
          <cell r="W126" t="str">
            <v>総務部　勤労</v>
          </cell>
          <cell r="X126" t="str">
            <v>近藤　麻紀</v>
          </cell>
          <cell r="Y126" t="str">
            <v>KNG4841</v>
          </cell>
          <cell r="Z126" t="str">
            <v/>
          </cell>
          <cell r="AA126" t="str">
            <v>モバイル</v>
          </cell>
          <cell r="AB126" t="str">
            <v>ThinkPad R60e</v>
          </cell>
          <cell r="AC126" t="str">
            <v>0658-BJ6</v>
          </cell>
          <cell r="AD126" t="str">
            <v>L3-GB844</v>
          </cell>
          <cell r="AE126" t="str">
            <v>リコーImagio Neo C325</v>
          </cell>
          <cell r="AF126" t="str">
            <v>146.143.030.229</v>
          </cell>
          <cell r="AG126" t="str">
            <v>リコーImagio MPC2800</v>
          </cell>
          <cell r="AH126" t="str">
            <v>146.143.010.232</v>
          </cell>
          <cell r="AI126" t="str">
            <v/>
          </cell>
          <cell r="AJ126" t="str">
            <v/>
          </cell>
          <cell r="AK126" t="str">
            <v>WindowsXP(SP2)</v>
          </cell>
          <cell r="AL126" t="str">
            <v>KN-03</v>
          </cell>
          <cell r="AM126" t="str">
            <v>0016D3B116BC</v>
          </cell>
          <cell r="AN126" t="str">
            <v>146.143.001.001</v>
          </cell>
          <cell r="AO126" t="str">
            <v>ｾﾝﾁｭﾘｰ・ﾘｰｼﾝｸﾞ・ｼｽﾃﾑ</v>
          </cell>
          <cell r="AP126" t="str">
            <v>L07107061</v>
          </cell>
          <cell r="AQ126" t="str">
            <v>KNP3B188</v>
          </cell>
          <cell r="AR126" t="str">
            <v>CCIT</v>
          </cell>
          <cell r="AS126" t="str">
            <v/>
          </cell>
          <cell r="AT126" t="str">
            <v/>
          </cell>
          <cell r="AU126" t="str">
            <v/>
          </cell>
          <cell r="AV126" t="str">
            <v/>
          </cell>
          <cell r="AW126" t="str">
            <v/>
          </cell>
          <cell r="AX126" t="str">
            <v/>
          </cell>
          <cell r="AY126" t="str">
            <v/>
          </cell>
          <cell r="AZ126" t="str">
            <v>バッテリー交換2009/11/9</v>
          </cell>
          <cell r="BC126">
            <v>800</v>
          </cell>
          <cell r="BD126" t="str">
            <v/>
          </cell>
          <cell r="BE126" t="str">
            <v>SafeBoot</v>
          </cell>
        </row>
        <row r="127">
          <cell r="F127">
            <v>76</v>
          </cell>
          <cell r="G127" t="str">
            <v>146.143.020.050</v>
          </cell>
          <cell r="H127" t="str">
            <v/>
          </cell>
          <cell r="I127" t="str">
            <v>RSI</v>
          </cell>
          <cell r="J127" t="str">
            <v/>
          </cell>
          <cell r="K127" t="str">
            <v/>
          </cell>
          <cell r="L127" t="str">
            <v>ﾊﾟﾅｿﾆｯｸﾒｰｶｰ保守</v>
          </cell>
          <cell r="M127">
            <v>39661</v>
          </cell>
          <cell r="N127">
            <v>41121</v>
          </cell>
          <cell r="Q127" t="str">
            <v/>
          </cell>
          <cell r="R127" t="str">
            <v>PC</v>
          </cell>
          <cell r="S127" t="str">
            <v/>
          </cell>
          <cell r="T127" t="str">
            <v>加古川</v>
          </cell>
          <cell r="U127" t="str">
            <v>加古川工場</v>
          </cell>
          <cell r="V127" t="str">
            <v>カーボンテック</v>
          </cell>
          <cell r="W127" t="str">
            <v>東事務所</v>
          </cell>
          <cell r="X127" t="str">
            <v>石田　昌己</v>
          </cell>
          <cell r="Y127" t="str">
            <v>KNG4844</v>
          </cell>
          <cell r="Z127" t="str">
            <v/>
          </cell>
          <cell r="AA127" t="str">
            <v>モバイル</v>
          </cell>
          <cell r="AB127" t="str">
            <v>CF-R7</v>
          </cell>
          <cell r="AC127" t="str">
            <v>CF-R7CW5AXS</v>
          </cell>
          <cell r="AD127" t="str">
            <v>8DKSA26735</v>
          </cell>
          <cell r="AE127" t="str">
            <v>SHARP MX-4100FN</v>
          </cell>
          <cell r="AF127" t="str">
            <v>146.143.020.224</v>
          </cell>
          <cell r="AG127" t="str">
            <v>リコーImagio MPC3500</v>
          </cell>
          <cell r="AH127" t="str">
            <v>146.143.020.226</v>
          </cell>
          <cell r="AI127" t="str">
            <v/>
          </cell>
          <cell r="AJ127" t="str">
            <v/>
          </cell>
          <cell r="AK127" t="str">
            <v>WindowsXP(SP2)</v>
          </cell>
          <cell r="AL127" t="str">
            <v>CT</v>
          </cell>
          <cell r="AM127" t="str">
            <v/>
          </cell>
          <cell r="AN127" t="str">
            <v>146.143.001.001</v>
          </cell>
          <cell r="AO127" t="str">
            <v/>
          </cell>
          <cell r="AP127" t="str">
            <v/>
          </cell>
          <cell r="AQ127" t="str">
            <v>KNP3D050</v>
          </cell>
          <cell r="AR127" t="str">
            <v>CCIT</v>
          </cell>
          <cell r="AS127" t="str">
            <v/>
          </cell>
          <cell r="AT127" t="str">
            <v/>
          </cell>
          <cell r="AU127" t="str">
            <v/>
          </cell>
          <cell r="AV127" t="str">
            <v/>
          </cell>
          <cell r="AW127" t="str">
            <v/>
          </cell>
          <cell r="AX127" t="str">
            <v/>
          </cell>
          <cell r="AY127" t="str">
            <v/>
          </cell>
          <cell r="AZ127" t="str">
            <v>フォント：Code39追加</v>
          </cell>
          <cell r="BB127">
            <v>4680</v>
          </cell>
          <cell r="BD127" t="str">
            <v/>
          </cell>
          <cell r="BE127" t="str">
            <v>SafeBoot</v>
          </cell>
        </row>
        <row r="128">
          <cell r="F128">
            <v>124</v>
          </cell>
          <cell r="G128" t="str">
            <v>201.255.011.117</v>
          </cell>
          <cell r="H128" t="str">
            <v/>
          </cell>
          <cell r="I128" t="str">
            <v>KN</v>
          </cell>
          <cell r="J128" t="str">
            <v/>
          </cell>
          <cell r="K128" t="str">
            <v>TG07P0086</v>
          </cell>
          <cell r="L128" t="str">
            <v>第３者保守</v>
          </cell>
          <cell r="M128">
            <v>39356</v>
          </cell>
          <cell r="N128">
            <v>40816</v>
          </cell>
          <cell r="Q128" t="str">
            <v/>
          </cell>
          <cell r="R128" t="str">
            <v>PC</v>
          </cell>
          <cell r="S128" t="str">
            <v>無線</v>
          </cell>
          <cell r="T128" t="str">
            <v>尼崎</v>
          </cell>
          <cell r="U128" t="str">
            <v>本社</v>
          </cell>
          <cell r="V128" t="str">
            <v>関西熱化学</v>
          </cell>
          <cell r="W128" t="str">
            <v>事業推進部</v>
          </cell>
          <cell r="X128" t="str">
            <v>粕谷　重明</v>
          </cell>
          <cell r="Y128" t="str">
            <v>KNG4871</v>
          </cell>
          <cell r="Z128">
            <v>1</v>
          </cell>
          <cell r="AA128" t="str">
            <v>Safeboot</v>
          </cell>
          <cell r="AB128" t="str">
            <v>ThinkPad R60e</v>
          </cell>
          <cell r="AC128" t="str">
            <v>0658-BJ6</v>
          </cell>
          <cell r="AD128" t="str">
            <v>L3-GB836</v>
          </cell>
          <cell r="AE128" t="str">
            <v>リコーImagio MPC3500</v>
          </cell>
          <cell r="AF128" t="str">
            <v>201.255.011.030</v>
          </cell>
          <cell r="AG128" t="str">
            <v>リコーImagio MPC3000</v>
          </cell>
          <cell r="AH128" t="str">
            <v>201.255.011.027</v>
          </cell>
          <cell r="AI128" t="str">
            <v/>
          </cell>
          <cell r="AJ128" t="str">
            <v/>
          </cell>
          <cell r="AK128" t="str">
            <v>WindowsXP(SP2)</v>
          </cell>
          <cell r="AL128" t="str">
            <v>KN-01</v>
          </cell>
          <cell r="AM128" t="str">
            <v/>
          </cell>
          <cell r="AN128" t="str">
            <v>201.255.011.001</v>
          </cell>
          <cell r="AO128" t="str">
            <v>ｾﾝﾁｭﾘｰ・ﾘｰｼﾝｸﾞ・ｼｽﾃﾑ</v>
          </cell>
          <cell r="AP128" t="str">
            <v>L07107062</v>
          </cell>
          <cell r="AQ128" t="str">
            <v>KNG11117</v>
          </cell>
          <cell r="AR128" t="str">
            <v>CCIT</v>
          </cell>
          <cell r="AS128" t="str">
            <v/>
          </cell>
          <cell r="AT128" t="str">
            <v/>
          </cell>
          <cell r="AU128" t="str">
            <v/>
          </cell>
          <cell r="AV128" t="str">
            <v/>
          </cell>
          <cell r="AW128" t="str">
            <v/>
          </cell>
          <cell r="AX128" t="str">
            <v/>
          </cell>
          <cell r="AY128" t="str">
            <v/>
          </cell>
          <cell r="AZ128" t="str">
            <v/>
          </cell>
          <cell r="BC128">
            <v>800</v>
          </cell>
          <cell r="BD128" t="str">
            <v/>
          </cell>
          <cell r="BE128" t="str">
            <v>SafeBoot</v>
          </cell>
        </row>
        <row r="129">
          <cell r="F129">
            <v>146</v>
          </cell>
          <cell r="G129" t="str">
            <v>201.255.011.199</v>
          </cell>
          <cell r="H129" t="str">
            <v/>
          </cell>
          <cell r="I129" t="str">
            <v>RSI</v>
          </cell>
          <cell r="J129" t="str">
            <v/>
          </cell>
          <cell r="K129" t="str">
            <v/>
          </cell>
          <cell r="L129" t="str">
            <v>ﾊﾟﾅｿﾆｯｸﾒｰｶｰ保守</v>
          </cell>
          <cell r="M129">
            <v>39692</v>
          </cell>
          <cell r="N129">
            <v>41152</v>
          </cell>
          <cell r="Q129" t="str">
            <v/>
          </cell>
          <cell r="R129" t="str">
            <v>PC</v>
          </cell>
          <cell r="S129" t="str">
            <v/>
          </cell>
          <cell r="T129" t="str">
            <v>尼崎</v>
          </cell>
          <cell r="U129" t="str">
            <v>本社</v>
          </cell>
          <cell r="V129" t="str">
            <v>関西熱化学</v>
          </cell>
          <cell r="W129" t="str">
            <v>事業推進部</v>
          </cell>
          <cell r="X129" t="str">
            <v>粕谷　重明</v>
          </cell>
          <cell r="Y129" t="str">
            <v>KNG4871</v>
          </cell>
          <cell r="Z129" t="str">
            <v/>
          </cell>
          <cell r="AA129" t="str">
            <v>モバイル</v>
          </cell>
          <cell r="AB129" t="str">
            <v>CF-R7</v>
          </cell>
          <cell r="AC129" t="str">
            <v>CF-R7CW5AXS</v>
          </cell>
          <cell r="AD129" t="str">
            <v>8DKSA25997</v>
          </cell>
          <cell r="AE129" t="str">
            <v>リコーImagio MPC3500</v>
          </cell>
          <cell r="AF129" t="str">
            <v>201.255.011.030</v>
          </cell>
          <cell r="AG129" t="str">
            <v/>
          </cell>
          <cell r="AH129" t="str">
            <v/>
          </cell>
          <cell r="AI129" t="str">
            <v/>
          </cell>
          <cell r="AJ129" t="str">
            <v/>
          </cell>
          <cell r="AK129" t="str">
            <v>WindowsXP(SP2)</v>
          </cell>
          <cell r="AL129" t="str">
            <v>KN-01</v>
          </cell>
          <cell r="AM129" t="str">
            <v/>
          </cell>
          <cell r="AN129" t="str">
            <v>201.255.011.001</v>
          </cell>
          <cell r="AO129" t="str">
            <v/>
          </cell>
          <cell r="AP129" t="str">
            <v/>
          </cell>
          <cell r="AQ129" t="str">
            <v>KNG11199</v>
          </cell>
          <cell r="AR129" t="str">
            <v>CCIT</v>
          </cell>
          <cell r="AS129" t="str">
            <v/>
          </cell>
          <cell r="AT129" t="str">
            <v/>
          </cell>
          <cell r="AU129" t="str">
            <v/>
          </cell>
          <cell r="AV129" t="str">
            <v/>
          </cell>
          <cell r="AW129" t="str">
            <v/>
          </cell>
          <cell r="AX129" t="str">
            <v/>
          </cell>
          <cell r="AY129" t="str">
            <v/>
          </cell>
          <cell r="AZ129" t="str">
            <v/>
          </cell>
          <cell r="BA129">
            <v>42956</v>
          </cell>
          <cell r="BB129">
            <v>4680</v>
          </cell>
          <cell r="BD129" t="str">
            <v/>
          </cell>
          <cell r="BE129" t="str">
            <v>SafeBoot</v>
          </cell>
        </row>
        <row r="130">
          <cell r="F130">
            <v>141</v>
          </cell>
          <cell r="G130" t="str">
            <v>201.255.041.109</v>
          </cell>
          <cell r="H130" t="str">
            <v/>
          </cell>
          <cell r="I130" t="str">
            <v>RSI</v>
          </cell>
          <cell r="J130" t="str">
            <v/>
          </cell>
          <cell r="K130" t="str">
            <v/>
          </cell>
          <cell r="L130" t="str">
            <v>第３者保守</v>
          </cell>
          <cell r="M130">
            <v>39569</v>
          </cell>
          <cell r="N130">
            <v>41029</v>
          </cell>
          <cell r="Q130" t="str">
            <v/>
          </cell>
          <cell r="R130" t="str">
            <v>PC</v>
          </cell>
          <cell r="S130" t="str">
            <v/>
          </cell>
          <cell r="T130" t="str">
            <v>尼崎</v>
          </cell>
          <cell r="U130" t="str">
            <v>北門</v>
          </cell>
          <cell r="V130" t="str">
            <v>ＫＮエンタープライズ</v>
          </cell>
          <cell r="W130" t="str">
            <v>飲食事業部　甲武荘</v>
          </cell>
          <cell r="X130" t="str">
            <v>安藤　勝彦</v>
          </cell>
          <cell r="Y130" t="str">
            <v>KNG4899</v>
          </cell>
          <cell r="Z130" t="str">
            <v/>
          </cell>
          <cell r="AA130" t="str">
            <v>モバイル</v>
          </cell>
          <cell r="AB130" t="str">
            <v>ThinkPad R61e</v>
          </cell>
          <cell r="AC130" t="str">
            <v>7649-3YJ</v>
          </cell>
          <cell r="AD130" t="str">
            <v>L3-G2936</v>
          </cell>
          <cell r="AE130" t="str">
            <v>EPSON PM-3700C</v>
          </cell>
          <cell r="AF130" t="str">
            <v>USB接続</v>
          </cell>
          <cell r="AG130" t="str">
            <v/>
          </cell>
          <cell r="AH130" t="str">
            <v/>
          </cell>
          <cell r="AI130" t="str">
            <v/>
          </cell>
          <cell r="AJ130" t="str">
            <v/>
          </cell>
          <cell r="AK130" t="str">
            <v>WindowsXP(SP2)</v>
          </cell>
          <cell r="AL130" t="str">
            <v>KNE-不ｻｰﾋﾞｽ</v>
          </cell>
          <cell r="AM130" t="str">
            <v/>
          </cell>
          <cell r="AN130" t="str">
            <v>201.255.041.001</v>
          </cell>
          <cell r="AO130" t="str">
            <v/>
          </cell>
          <cell r="AP130" t="str">
            <v/>
          </cell>
          <cell r="AQ130" t="str">
            <v>KNG41109</v>
          </cell>
          <cell r="AR130" t="str">
            <v>CCIT</v>
          </cell>
          <cell r="AS130" t="str">
            <v/>
          </cell>
          <cell r="AT130" t="str">
            <v/>
          </cell>
          <cell r="AU130" t="str">
            <v/>
          </cell>
          <cell r="AV130" t="str">
            <v/>
          </cell>
          <cell r="AW130" t="str">
            <v/>
          </cell>
          <cell r="AX130" t="str">
            <v/>
          </cell>
          <cell r="AY130" t="str">
            <v/>
          </cell>
          <cell r="AZ130" t="str">
            <v/>
          </cell>
          <cell r="BB130">
            <v>3040</v>
          </cell>
          <cell r="BC130">
            <v>800</v>
          </cell>
          <cell r="BD130" t="str">
            <v/>
          </cell>
          <cell r="BE130" t="str">
            <v>SafeBoot</v>
          </cell>
        </row>
        <row r="131">
          <cell r="F131">
            <v>132</v>
          </cell>
          <cell r="G131" t="str">
            <v>146.143.020.072</v>
          </cell>
          <cell r="H131" t="str">
            <v/>
          </cell>
          <cell r="I131" t="str">
            <v>RSI</v>
          </cell>
          <cell r="J131" t="str">
            <v/>
          </cell>
          <cell r="K131" t="str">
            <v/>
          </cell>
          <cell r="L131" t="str">
            <v>第３者保守</v>
          </cell>
          <cell r="M131">
            <v>39661</v>
          </cell>
          <cell r="N131">
            <v>41121</v>
          </cell>
          <cell r="Q131" t="str">
            <v/>
          </cell>
          <cell r="R131" t="str">
            <v>PC</v>
          </cell>
          <cell r="S131" t="str">
            <v/>
          </cell>
          <cell r="T131" t="str">
            <v>加古川</v>
          </cell>
          <cell r="U131" t="str">
            <v>加古川工場</v>
          </cell>
          <cell r="V131" t="str">
            <v>カーボンテック</v>
          </cell>
          <cell r="W131" t="str">
            <v>東事務所</v>
          </cell>
          <cell r="X131" t="str">
            <v>濱田　竜一</v>
          </cell>
          <cell r="Y131" t="str">
            <v>KNG4946</v>
          </cell>
          <cell r="Z131" t="str">
            <v/>
          </cell>
          <cell r="AA131" t="str">
            <v>モバイル</v>
          </cell>
          <cell r="AB131" t="str">
            <v>FMV-B8250</v>
          </cell>
          <cell r="AC131" t="str">
            <v>CP358901</v>
          </cell>
          <cell r="AD131" t="str">
            <v>R8303547</v>
          </cell>
          <cell r="AE131" t="str">
            <v>SHARP MX-4100FN</v>
          </cell>
          <cell r="AF131" t="str">
            <v>146.143.020.224</v>
          </cell>
          <cell r="AG131" t="str">
            <v>リコーImagio MPC3500</v>
          </cell>
          <cell r="AH131" t="str">
            <v>146.143.020.226</v>
          </cell>
          <cell r="AI131" t="str">
            <v/>
          </cell>
          <cell r="AJ131" t="str">
            <v/>
          </cell>
          <cell r="AK131" t="str">
            <v>WindowsXP(SP2)</v>
          </cell>
          <cell r="AL131" t="str">
            <v>CT</v>
          </cell>
          <cell r="AM131" t="str">
            <v/>
          </cell>
          <cell r="AN131" t="str">
            <v>146.143.001.001</v>
          </cell>
          <cell r="AO131" t="str">
            <v/>
          </cell>
          <cell r="AP131" t="str">
            <v/>
          </cell>
          <cell r="AQ131" t="str">
            <v>KNP3D072</v>
          </cell>
          <cell r="AR131" t="str">
            <v>CCIT</v>
          </cell>
          <cell r="AS131" t="str">
            <v/>
          </cell>
          <cell r="AT131" t="str">
            <v/>
          </cell>
          <cell r="AU131" t="str">
            <v/>
          </cell>
          <cell r="AV131" t="str">
            <v/>
          </cell>
          <cell r="AW131" t="str">
            <v/>
          </cell>
          <cell r="AX131" t="str">
            <v/>
          </cell>
          <cell r="AY131" t="str">
            <v/>
          </cell>
          <cell r="AZ131" t="str">
            <v/>
          </cell>
          <cell r="BB131">
            <v>3490</v>
          </cell>
          <cell r="BC131">
            <v>800</v>
          </cell>
          <cell r="BD131" t="str">
            <v/>
          </cell>
          <cell r="BE131" t="str">
            <v>SafeBoot</v>
          </cell>
        </row>
        <row r="132">
          <cell r="F132">
            <v>11</v>
          </cell>
          <cell r="G132" t="str">
            <v>201.255.011.072</v>
          </cell>
          <cell r="H132" t="str">
            <v/>
          </cell>
          <cell r="I132" t="str">
            <v>KN</v>
          </cell>
          <cell r="J132" t="str">
            <v/>
          </cell>
          <cell r="K132" t="str">
            <v>TG06P0041</v>
          </cell>
          <cell r="L132" t="str">
            <v>第３者保守</v>
          </cell>
          <cell r="M132">
            <v>38930</v>
          </cell>
          <cell r="N132">
            <v>40390</v>
          </cell>
          <cell r="Q132" t="str">
            <v/>
          </cell>
          <cell r="R132" t="str">
            <v>PC</v>
          </cell>
          <cell r="S132" t="str">
            <v>無線</v>
          </cell>
          <cell r="T132" t="str">
            <v>尼崎</v>
          </cell>
          <cell r="U132" t="str">
            <v>本社</v>
          </cell>
          <cell r="V132" t="str">
            <v>関西熱化学</v>
          </cell>
          <cell r="W132" t="str">
            <v>総務人事部</v>
          </cell>
          <cell r="X132" t="str">
            <v>宮本　将志</v>
          </cell>
          <cell r="Y132" t="str">
            <v>KNG4966</v>
          </cell>
          <cell r="Z132" t="str">
            <v/>
          </cell>
          <cell r="AA132" t="str">
            <v>Safeboot</v>
          </cell>
          <cell r="AB132" t="str">
            <v>ThinkPad R51e</v>
          </cell>
          <cell r="AC132" t="str">
            <v>1843-A65</v>
          </cell>
          <cell r="AD132" t="str">
            <v>LV-BWC78</v>
          </cell>
          <cell r="AE132" t="str">
            <v>リコーImagio MPC3000</v>
          </cell>
          <cell r="AF132" t="str">
            <v>201.255.011.024</v>
          </cell>
          <cell r="AG132" t="str">
            <v>リコーIpsio SP 6220</v>
          </cell>
          <cell r="AH132" t="str">
            <v>201.255.011.029</v>
          </cell>
          <cell r="AI132" t="str">
            <v/>
          </cell>
          <cell r="AJ132" t="str">
            <v/>
          </cell>
          <cell r="AK132" t="str">
            <v>WindowsXP(SP2)</v>
          </cell>
          <cell r="AL132" t="str">
            <v>KN-01</v>
          </cell>
          <cell r="AM132" t="str">
            <v/>
          </cell>
          <cell r="AN132" t="str">
            <v>201.255.011.001</v>
          </cell>
          <cell r="AO132" t="str">
            <v/>
          </cell>
          <cell r="AP132" t="str">
            <v/>
          </cell>
          <cell r="AQ132" t="str">
            <v>KNG11072</v>
          </cell>
          <cell r="AR132" t="str">
            <v>CCIT</v>
          </cell>
          <cell r="AS132" t="str">
            <v/>
          </cell>
          <cell r="AT132" t="str">
            <v/>
          </cell>
          <cell r="AU132" t="str">
            <v/>
          </cell>
          <cell r="AV132" t="str">
            <v/>
          </cell>
          <cell r="AW132" t="str">
            <v/>
          </cell>
          <cell r="AX132" t="str">
            <v/>
          </cell>
          <cell r="AY132" t="str">
            <v/>
          </cell>
          <cell r="AZ132" t="str">
            <v/>
          </cell>
          <cell r="BC132">
            <v>800</v>
          </cell>
          <cell r="BD132" t="str">
            <v/>
          </cell>
          <cell r="BE132" t="str">
            <v>SafeBoot</v>
          </cell>
        </row>
        <row r="133">
          <cell r="F133">
            <v>142</v>
          </cell>
          <cell r="G133" t="str">
            <v>201.255.011.132</v>
          </cell>
          <cell r="H133" t="str">
            <v/>
          </cell>
          <cell r="I133" t="str">
            <v>CT</v>
          </cell>
          <cell r="J133" t="str">
            <v/>
          </cell>
          <cell r="K133" t="str">
            <v>TG08P0009</v>
          </cell>
          <cell r="L133" t="str">
            <v>ﾊﾟﾅｿﾆｯｸﾒｰｶｰ保守</v>
          </cell>
          <cell r="M133">
            <v>39479</v>
          </cell>
          <cell r="N133">
            <v>40939</v>
          </cell>
          <cell r="Q133" t="str">
            <v/>
          </cell>
          <cell r="R133" t="str">
            <v>PC</v>
          </cell>
          <cell r="S133" t="str">
            <v/>
          </cell>
          <cell r="T133" t="str">
            <v>尼崎</v>
          </cell>
          <cell r="U133" t="str">
            <v>本社</v>
          </cell>
          <cell r="V133" t="str">
            <v>カーボンテック</v>
          </cell>
          <cell r="W133" t="str">
            <v>活性炭事業部　活性炭営業部</v>
          </cell>
          <cell r="X133" t="str">
            <v>田中　賢二</v>
          </cell>
          <cell r="Y133" t="str">
            <v>KNG4967</v>
          </cell>
          <cell r="Z133" t="str">
            <v/>
          </cell>
          <cell r="AA133" t="str">
            <v>モバイル</v>
          </cell>
          <cell r="AB133" t="str">
            <v>CF-R6</v>
          </cell>
          <cell r="AC133" t="str">
            <v>CF-R6MW4AXS</v>
          </cell>
          <cell r="AD133" t="str">
            <v>7FKSA21926</v>
          </cell>
          <cell r="AE133" t="str">
            <v>リコーImagio MPC3500</v>
          </cell>
          <cell r="AF133" t="str">
            <v>201.255.011.030</v>
          </cell>
          <cell r="AG133" t="str">
            <v>リコーImagio MPC3000</v>
          </cell>
          <cell r="AH133" t="str">
            <v>201.255.011.027</v>
          </cell>
          <cell r="AI133" t="str">
            <v/>
          </cell>
          <cell r="AJ133" t="str">
            <v/>
          </cell>
          <cell r="AK133" t="str">
            <v>WindowsXP(SP2)</v>
          </cell>
          <cell r="AL133" t="str">
            <v>CT</v>
          </cell>
          <cell r="AM133" t="str">
            <v/>
          </cell>
          <cell r="AN133" t="str">
            <v>201.255.011.001</v>
          </cell>
          <cell r="AO133" t="str">
            <v>ｾﾝﾁｭﾘｰ・ﾘｰｼﾝｸﾞ・ｼｽﾃﾑ</v>
          </cell>
          <cell r="AP133" t="str">
            <v>L08027675</v>
          </cell>
          <cell r="AQ133" t="str">
            <v>KNG11132</v>
          </cell>
          <cell r="AR133" t="str">
            <v>CCIT</v>
          </cell>
          <cell r="AS133" t="str">
            <v/>
          </cell>
          <cell r="AT133" t="str">
            <v/>
          </cell>
          <cell r="AU133" t="str">
            <v/>
          </cell>
          <cell r="AV133" t="str">
            <v/>
          </cell>
          <cell r="AW133" t="str">
            <v/>
          </cell>
          <cell r="AX133" t="str">
            <v/>
          </cell>
          <cell r="AY133" t="str">
            <v/>
          </cell>
          <cell r="AZ133" t="str">
            <v>2009年5月　ＯＡ改善依頼にて本社設置で残すとの依頼あり</v>
          </cell>
          <cell r="BD133" t="str">
            <v/>
          </cell>
          <cell r="BE133" t="str">
            <v>SafeBoot</v>
          </cell>
        </row>
        <row r="134">
          <cell r="F134">
            <v>105</v>
          </cell>
          <cell r="G134" t="str">
            <v>201.255.011.095</v>
          </cell>
          <cell r="H134" t="str">
            <v/>
          </cell>
          <cell r="I134" t="str">
            <v>RSI</v>
          </cell>
          <cell r="J134" t="str">
            <v/>
          </cell>
          <cell r="K134" t="str">
            <v/>
          </cell>
          <cell r="L134" t="str">
            <v>第３者保守</v>
          </cell>
          <cell r="M134">
            <v>40148</v>
          </cell>
          <cell r="N134">
            <v>41608</v>
          </cell>
          <cell r="Q134" t="str">
            <v/>
          </cell>
          <cell r="R134" t="str">
            <v>PC</v>
          </cell>
          <cell r="S134" t="str">
            <v>無線</v>
          </cell>
          <cell r="T134" t="str">
            <v>尼崎</v>
          </cell>
          <cell r="U134" t="str">
            <v>本社</v>
          </cell>
          <cell r="V134" t="str">
            <v>関西熱化学</v>
          </cell>
          <cell r="W134" t="str">
            <v>総務人事部</v>
          </cell>
          <cell r="X134" t="str">
            <v>内海　公範</v>
          </cell>
          <cell r="Y134" t="str">
            <v>KNG4973</v>
          </cell>
          <cell r="Z134" t="str">
            <v/>
          </cell>
          <cell r="AA134" t="str">
            <v>モバイル</v>
          </cell>
          <cell r="AB134" t="str">
            <v>FMV-R8280</v>
          </cell>
          <cell r="AC134" t="str">
            <v>FMVNR9P1C</v>
          </cell>
          <cell r="AD134" t="str">
            <v>R9901976</v>
          </cell>
          <cell r="AE134" t="str">
            <v>リコーImagio MPC3000</v>
          </cell>
          <cell r="AF134" t="str">
            <v>201.255.011.024</v>
          </cell>
          <cell r="AG134" t="str">
            <v>リコーIpsio SP 6220</v>
          </cell>
          <cell r="AH134" t="str">
            <v>201.255.011.029</v>
          </cell>
          <cell r="AI134" t="str">
            <v/>
          </cell>
          <cell r="AJ134" t="str">
            <v/>
          </cell>
          <cell r="AK134" t="str">
            <v>WindowsXP(SP3)</v>
          </cell>
          <cell r="AL134" t="str">
            <v>KN-01</v>
          </cell>
          <cell r="AM134" t="str">
            <v/>
          </cell>
          <cell r="AN134" t="str">
            <v>201.255.011.001</v>
          </cell>
          <cell r="AO134" t="str">
            <v/>
          </cell>
          <cell r="AP134" t="str">
            <v/>
          </cell>
          <cell r="AQ134" t="str">
            <v>KNG11095</v>
          </cell>
          <cell r="AR134" t="str">
            <v>CCIT</v>
          </cell>
          <cell r="AS134" t="str">
            <v/>
          </cell>
          <cell r="AT134" t="str">
            <v/>
          </cell>
          <cell r="AU134" t="str">
            <v/>
          </cell>
          <cell r="AV134" t="str">
            <v/>
          </cell>
          <cell r="AW134" t="str">
            <v/>
          </cell>
          <cell r="AX134" t="str">
            <v/>
          </cell>
          <cell r="AY134" t="str">
            <v/>
          </cell>
          <cell r="AZ134" t="str">
            <v/>
          </cell>
          <cell r="BA134">
            <v>39730</v>
          </cell>
          <cell r="BB134">
            <v>3370</v>
          </cell>
          <cell r="BD134" t="str">
            <v/>
          </cell>
          <cell r="BE134" t="str">
            <v>SafeBoot</v>
          </cell>
        </row>
        <row r="135">
          <cell r="F135">
            <v>150</v>
          </cell>
          <cell r="G135" t="str">
            <v>201.255.041.100</v>
          </cell>
          <cell r="H135" t="str">
            <v/>
          </cell>
          <cell r="I135" t="str">
            <v>KNL</v>
          </cell>
          <cell r="J135" t="str">
            <v/>
          </cell>
          <cell r="K135" t="str">
            <v>TG06P0065</v>
          </cell>
          <cell r="L135" t="str">
            <v>ﾊﾟﾅｿﾆｯｸﾒｰｶｰ保守</v>
          </cell>
          <cell r="M135">
            <v>39022</v>
          </cell>
          <cell r="N135">
            <v>40482</v>
          </cell>
          <cell r="Q135" t="str">
            <v/>
          </cell>
          <cell r="R135" t="str">
            <v>PC</v>
          </cell>
          <cell r="S135" t="str">
            <v/>
          </cell>
          <cell r="T135" t="str">
            <v>尼崎</v>
          </cell>
          <cell r="U135" t="str">
            <v>北門</v>
          </cell>
          <cell r="V135" t="str">
            <v>ＫＮラボアナリシス</v>
          </cell>
          <cell r="W135" t="str">
            <v>精密洗浄事業部</v>
          </cell>
          <cell r="X135" t="str">
            <v>野口　剛志</v>
          </cell>
          <cell r="Y135" t="str">
            <v>KNG4977</v>
          </cell>
          <cell r="Z135" t="str">
            <v/>
          </cell>
          <cell r="AA135" t="str">
            <v>モバイル</v>
          </cell>
          <cell r="AB135" t="str">
            <v>CF-R4</v>
          </cell>
          <cell r="AC135" t="str">
            <v>CF-R4JC4AXS</v>
          </cell>
          <cell r="AD135" t="str">
            <v>6FKSA49906</v>
          </cell>
          <cell r="AE135" t="str">
            <v>リコーImagio MPC5000</v>
          </cell>
          <cell r="AF135" t="str">
            <v>201.255.041.040</v>
          </cell>
          <cell r="AG135" t="str">
            <v>リコーImagio MPC2800</v>
          </cell>
          <cell r="AH135" t="str">
            <v>201.255.041.162</v>
          </cell>
          <cell r="AI135" t="str">
            <v/>
          </cell>
          <cell r="AJ135" t="str">
            <v/>
          </cell>
          <cell r="AK135" t="str">
            <v>WindowsXP(SP2)</v>
          </cell>
          <cell r="AL135" t="str">
            <v>KNL-精密</v>
          </cell>
          <cell r="AM135" t="str">
            <v/>
          </cell>
          <cell r="AN135" t="str">
            <v>201.255.041.001</v>
          </cell>
          <cell r="AO135" t="str">
            <v/>
          </cell>
          <cell r="AP135" t="str">
            <v/>
          </cell>
          <cell r="AQ135" t="str">
            <v>KNG41100</v>
          </cell>
          <cell r="AR135" t="str">
            <v>CCIT</v>
          </cell>
          <cell r="AS135" t="str">
            <v/>
          </cell>
          <cell r="AT135" t="str">
            <v/>
          </cell>
          <cell r="AU135" t="str">
            <v/>
          </cell>
          <cell r="AV135" t="str">
            <v/>
          </cell>
          <cell r="AW135" t="str">
            <v/>
          </cell>
          <cell r="AX135" t="str">
            <v/>
          </cell>
          <cell r="AY135" t="str">
            <v/>
          </cell>
          <cell r="AZ135" t="str">
            <v/>
          </cell>
          <cell r="BD135" t="str">
            <v/>
          </cell>
          <cell r="BE135" t="str">
            <v>SafeBoot</v>
          </cell>
        </row>
        <row r="136">
          <cell r="F136">
            <v>6</v>
          </cell>
          <cell r="G136" t="str">
            <v>201.255.011.056</v>
          </cell>
          <cell r="H136" t="str">
            <v/>
          </cell>
          <cell r="I136" t="str">
            <v>KN</v>
          </cell>
          <cell r="J136" t="str">
            <v/>
          </cell>
          <cell r="K136" t="str">
            <v>TG07P0049</v>
          </cell>
          <cell r="L136" t="str">
            <v>第３者保守</v>
          </cell>
          <cell r="M136">
            <v>39234</v>
          </cell>
          <cell r="N136">
            <v>40694</v>
          </cell>
          <cell r="Q136" t="str">
            <v/>
          </cell>
          <cell r="R136" t="str">
            <v>PC</v>
          </cell>
          <cell r="S136" t="str">
            <v>無線</v>
          </cell>
          <cell r="T136" t="str">
            <v>尼崎</v>
          </cell>
          <cell r="U136" t="str">
            <v>本社</v>
          </cell>
          <cell r="V136" t="str">
            <v>関西熱化学</v>
          </cell>
          <cell r="W136" t="str">
            <v>総務人事部</v>
          </cell>
          <cell r="X136" t="str">
            <v>河原　悠里</v>
          </cell>
          <cell r="Y136" t="str">
            <v>KNG4987</v>
          </cell>
          <cell r="Z136" t="str">
            <v/>
          </cell>
          <cell r="AA136" t="str">
            <v>Safeboot</v>
          </cell>
          <cell r="AB136" t="str">
            <v>ThinkPad R60e</v>
          </cell>
          <cell r="AC136" t="str">
            <v>0658-BJ6</v>
          </cell>
          <cell r="AD136" t="str">
            <v>L3-DD884</v>
          </cell>
          <cell r="AE136" t="str">
            <v>リコーImagio MPC3000</v>
          </cell>
          <cell r="AF136" t="str">
            <v>201.255.011.024</v>
          </cell>
          <cell r="AG136" t="str">
            <v>リコーIpsio SP 6220</v>
          </cell>
          <cell r="AH136" t="str">
            <v>201.255.011.029</v>
          </cell>
          <cell r="AI136" t="str">
            <v/>
          </cell>
          <cell r="AJ136" t="str">
            <v/>
          </cell>
          <cell r="AK136" t="str">
            <v>WindowsXP(SP2)</v>
          </cell>
          <cell r="AL136" t="str">
            <v>KN-01</v>
          </cell>
          <cell r="AM136" t="str">
            <v/>
          </cell>
          <cell r="AN136" t="str">
            <v>201.255.011.001</v>
          </cell>
          <cell r="AO136" t="str">
            <v>興銀リース</v>
          </cell>
          <cell r="AP136" t="str">
            <v>07-408414</v>
          </cell>
          <cell r="AQ136" t="str">
            <v>KNG11056</v>
          </cell>
          <cell r="AR136" t="str">
            <v>CCIT</v>
          </cell>
          <cell r="AS136" t="str">
            <v/>
          </cell>
          <cell r="AT136" t="str">
            <v/>
          </cell>
          <cell r="AU136" t="str">
            <v/>
          </cell>
          <cell r="AV136" t="str">
            <v/>
          </cell>
          <cell r="AW136" t="str">
            <v/>
          </cell>
          <cell r="AX136" t="str">
            <v/>
          </cell>
          <cell r="AY136" t="str">
            <v/>
          </cell>
          <cell r="AZ136" t="str">
            <v/>
          </cell>
          <cell r="BC136">
            <v>800</v>
          </cell>
          <cell r="BD136" t="str">
            <v/>
          </cell>
          <cell r="BE136" t="str">
            <v>SafeBoot</v>
          </cell>
        </row>
        <row r="137">
          <cell r="F137">
            <v>100</v>
          </cell>
          <cell r="G137" t="str">
            <v>146.143.010.186</v>
          </cell>
          <cell r="H137" t="str">
            <v/>
          </cell>
          <cell r="I137" t="str">
            <v>RSI</v>
          </cell>
          <cell r="J137" t="str">
            <v/>
          </cell>
          <cell r="K137" t="str">
            <v/>
          </cell>
          <cell r="L137" t="str">
            <v>第３者保守</v>
          </cell>
          <cell r="M137">
            <v>40148</v>
          </cell>
          <cell r="N137">
            <v>41608</v>
          </cell>
          <cell r="Q137" t="str">
            <v/>
          </cell>
          <cell r="R137" t="str">
            <v>PC</v>
          </cell>
          <cell r="S137" t="str">
            <v/>
          </cell>
          <cell r="T137" t="str">
            <v>加古川</v>
          </cell>
          <cell r="U137" t="str">
            <v>加古川工場</v>
          </cell>
          <cell r="V137" t="str">
            <v>関西熱化学</v>
          </cell>
          <cell r="W137" t="str">
            <v>生産センター　コークス</v>
          </cell>
          <cell r="X137" t="str">
            <v>春名　隆志</v>
          </cell>
          <cell r="Y137" t="str">
            <v>KNG4988</v>
          </cell>
          <cell r="Z137" t="str">
            <v/>
          </cell>
          <cell r="AA137" t="str">
            <v>モバイル</v>
          </cell>
          <cell r="AB137" t="str">
            <v>FMV-R8280</v>
          </cell>
          <cell r="AC137" t="str">
            <v>FMVNR9P1C</v>
          </cell>
          <cell r="AD137" t="str">
            <v>R9901970</v>
          </cell>
          <cell r="AE137" t="str">
            <v>リコーIpsio SP C820</v>
          </cell>
          <cell r="AF137" t="str">
            <v>146.143.010.221</v>
          </cell>
          <cell r="AG137" t="str">
            <v>リコーImagio MPC2800</v>
          </cell>
          <cell r="AH137" t="str">
            <v>146.143.010.233</v>
          </cell>
          <cell r="AI137" t="str">
            <v>リコーImagio MPC4000</v>
          </cell>
          <cell r="AJ137" t="str">
            <v>146.143.010.227</v>
          </cell>
          <cell r="AK137" t="str">
            <v>WindowsXP(SP3)</v>
          </cell>
          <cell r="AL137" t="str">
            <v>KN-03</v>
          </cell>
          <cell r="AM137" t="str">
            <v/>
          </cell>
          <cell r="AN137" t="str">
            <v>146.143.001.001</v>
          </cell>
          <cell r="AO137" t="str">
            <v/>
          </cell>
          <cell r="AP137" t="str">
            <v/>
          </cell>
          <cell r="AQ137" t="str">
            <v>KNP3B186</v>
          </cell>
          <cell r="AR137" t="str">
            <v>CCIT</v>
          </cell>
          <cell r="AS137" t="str">
            <v/>
          </cell>
          <cell r="AT137" t="str">
            <v/>
          </cell>
          <cell r="AU137" t="str">
            <v/>
          </cell>
          <cell r="AV137" t="str">
            <v/>
          </cell>
          <cell r="AW137" t="str">
            <v/>
          </cell>
          <cell r="AX137" t="str">
            <v/>
          </cell>
          <cell r="AY137" t="str">
            <v/>
          </cell>
          <cell r="AZ137" t="str">
            <v/>
          </cell>
          <cell r="BA137">
            <v>38665</v>
          </cell>
          <cell r="BB137">
            <v>3370</v>
          </cell>
          <cell r="BD137" t="str">
            <v/>
          </cell>
          <cell r="BE137" t="str">
            <v>SafeBoot</v>
          </cell>
        </row>
        <row r="138">
          <cell r="F138">
            <v>87</v>
          </cell>
          <cell r="G138" t="str">
            <v>201.255.061.158</v>
          </cell>
          <cell r="H138" t="str">
            <v/>
          </cell>
          <cell r="I138" t="str">
            <v>KN</v>
          </cell>
          <cell r="J138" t="str">
            <v/>
          </cell>
          <cell r="K138" t="str">
            <v>TG07P0101</v>
          </cell>
          <cell r="L138" t="str">
            <v>ﾊﾟﾅｿﾆｯｸﾒｰｶｰ保守</v>
          </cell>
          <cell r="M138">
            <v>39417</v>
          </cell>
          <cell r="N138">
            <v>40877</v>
          </cell>
          <cell r="Q138" t="str">
            <v/>
          </cell>
          <cell r="R138" t="str">
            <v>PC</v>
          </cell>
          <cell r="S138" t="str">
            <v/>
          </cell>
          <cell r="T138" t="str">
            <v>尼崎</v>
          </cell>
          <cell r="U138" t="str">
            <v>研究開発センター</v>
          </cell>
          <cell r="V138" t="str">
            <v>関西熱化学</v>
          </cell>
          <cell r="W138" t="str">
            <v>新館２Ｆ事務所</v>
          </cell>
          <cell r="X138" t="str">
            <v>竹中　尚一</v>
          </cell>
          <cell r="Y138" t="str">
            <v>KNG5002</v>
          </cell>
          <cell r="Z138" t="str">
            <v/>
          </cell>
          <cell r="AA138" t="str">
            <v>モバイル</v>
          </cell>
          <cell r="AB138" t="str">
            <v>CF-R6</v>
          </cell>
          <cell r="AC138" t="str">
            <v>CF-R6AW1AXS</v>
          </cell>
          <cell r="AD138" t="str">
            <v>7JKSA38036</v>
          </cell>
          <cell r="AE138" t="str">
            <v>リコーIpsio SP C820</v>
          </cell>
          <cell r="AF138" t="str">
            <v>201.255.061.027</v>
          </cell>
          <cell r="AG138" t="str">
            <v>リコーImagio MPC3000</v>
          </cell>
          <cell r="AH138" t="str">
            <v>201.255.061.033</v>
          </cell>
          <cell r="AI138" t="str">
            <v/>
          </cell>
          <cell r="AJ138" t="str">
            <v/>
          </cell>
          <cell r="AK138" t="str">
            <v>WindowsXP(SP2)</v>
          </cell>
          <cell r="AL138" t="str">
            <v>KN-02</v>
          </cell>
          <cell r="AM138" t="str">
            <v/>
          </cell>
          <cell r="AN138" t="str">
            <v>201.255.061.001</v>
          </cell>
          <cell r="AO138" t="str">
            <v>興銀リース</v>
          </cell>
          <cell r="AP138" t="str">
            <v>07-412607</v>
          </cell>
          <cell r="AQ138" t="str">
            <v>KNG61158</v>
          </cell>
          <cell r="AR138" t="str">
            <v>CCIT</v>
          </cell>
          <cell r="AS138" t="str">
            <v/>
          </cell>
          <cell r="AT138" t="str">
            <v/>
          </cell>
          <cell r="AU138" t="str">
            <v/>
          </cell>
          <cell r="AV138" t="str">
            <v/>
          </cell>
          <cell r="AW138" t="str">
            <v/>
          </cell>
          <cell r="AX138" t="str">
            <v/>
          </cell>
          <cell r="AY138" t="str">
            <v/>
          </cell>
          <cell r="AZ138" t="str">
            <v/>
          </cell>
          <cell r="BB138">
            <v>4439</v>
          </cell>
          <cell r="BD138" t="str">
            <v/>
          </cell>
          <cell r="BE138" t="str">
            <v>SafeBoot</v>
          </cell>
        </row>
        <row r="139">
          <cell r="F139">
            <v>109</v>
          </cell>
          <cell r="G139" t="str">
            <v>201.255.011.082</v>
          </cell>
          <cell r="H139" t="str">
            <v/>
          </cell>
          <cell r="I139" t="str">
            <v>RSI</v>
          </cell>
          <cell r="J139" t="str">
            <v/>
          </cell>
          <cell r="K139" t="str">
            <v/>
          </cell>
          <cell r="L139" t="str">
            <v>ﾊﾟﾅｿﾆｯｸﾒｰｶｰ保守</v>
          </cell>
          <cell r="M139">
            <v>39995</v>
          </cell>
          <cell r="N139">
            <v>41455</v>
          </cell>
          <cell r="Q139" t="str">
            <v/>
          </cell>
          <cell r="R139" t="str">
            <v>PC</v>
          </cell>
          <cell r="S139" t="str">
            <v/>
          </cell>
          <cell r="T139" t="str">
            <v>尼崎</v>
          </cell>
          <cell r="U139" t="str">
            <v>本社</v>
          </cell>
          <cell r="V139" t="str">
            <v>関西熱化学</v>
          </cell>
          <cell r="W139" t="str">
            <v>社長</v>
          </cell>
          <cell r="X139" t="str">
            <v>朝比　栄一</v>
          </cell>
          <cell r="Y139" t="str">
            <v>KNG5003</v>
          </cell>
          <cell r="Z139" t="str">
            <v/>
          </cell>
          <cell r="AA139" t="str">
            <v>モバイル</v>
          </cell>
          <cell r="AB139" t="str">
            <v>CF-R8</v>
          </cell>
          <cell r="AC139" t="str">
            <v>CF-R8FW1AAS</v>
          </cell>
          <cell r="AD139" t="str">
            <v>9DKSA17821</v>
          </cell>
          <cell r="AE139" t="str">
            <v>リコーimagio MPC3000</v>
          </cell>
          <cell r="AF139" t="str">
            <v>201.255.011.024</v>
          </cell>
          <cell r="AG139" t="str">
            <v/>
          </cell>
          <cell r="AH139" t="str">
            <v/>
          </cell>
          <cell r="AI139" t="str">
            <v/>
          </cell>
          <cell r="AJ139" t="str">
            <v/>
          </cell>
          <cell r="AK139" t="str">
            <v>WindowsXP(SP2)</v>
          </cell>
          <cell r="AL139" t="str">
            <v>KN-01</v>
          </cell>
          <cell r="AM139" t="str">
            <v/>
          </cell>
          <cell r="AN139" t="str">
            <v>201.255.011.001</v>
          </cell>
          <cell r="AO139" t="str">
            <v/>
          </cell>
          <cell r="AP139" t="str">
            <v/>
          </cell>
          <cell r="AQ139" t="str">
            <v>KNG11082</v>
          </cell>
          <cell r="AR139" t="str">
            <v>CCIT</v>
          </cell>
          <cell r="AS139" t="str">
            <v/>
          </cell>
          <cell r="AT139" t="str">
            <v>　</v>
          </cell>
          <cell r="AU139" t="str">
            <v>　</v>
          </cell>
          <cell r="AV139" t="str">
            <v/>
          </cell>
          <cell r="AW139" t="str">
            <v/>
          </cell>
          <cell r="AX139" t="str">
            <v/>
          </cell>
          <cell r="AY139" t="str">
            <v/>
          </cell>
          <cell r="AZ139" t="str">
            <v/>
          </cell>
          <cell r="BB139">
            <v>4560</v>
          </cell>
          <cell r="BD139" t="str">
            <v/>
          </cell>
          <cell r="BE139" t="str">
            <v>SafeBoot</v>
          </cell>
        </row>
        <row r="140">
          <cell r="F140">
            <v>32</v>
          </cell>
          <cell r="G140" t="str">
            <v>201.255.011.080</v>
          </cell>
          <cell r="H140" t="str">
            <v/>
          </cell>
          <cell r="I140" t="str">
            <v>RSI</v>
          </cell>
          <cell r="J140" t="str">
            <v/>
          </cell>
          <cell r="K140" t="str">
            <v/>
          </cell>
          <cell r="L140" t="str">
            <v>ＨＰCarePack</v>
          </cell>
          <cell r="M140">
            <v>39630</v>
          </cell>
          <cell r="N140">
            <v>41090</v>
          </cell>
          <cell r="Q140" t="str">
            <v/>
          </cell>
          <cell r="R140" t="str">
            <v>PC</v>
          </cell>
          <cell r="S140" t="str">
            <v>無線</v>
          </cell>
          <cell r="T140" t="str">
            <v>尼崎</v>
          </cell>
          <cell r="U140" t="str">
            <v>本社</v>
          </cell>
          <cell r="V140" t="str">
            <v>関西熱化学</v>
          </cell>
          <cell r="W140" t="str">
            <v>総務人事部</v>
          </cell>
          <cell r="X140" t="str">
            <v>倉橋　結依</v>
          </cell>
          <cell r="Y140" t="str">
            <v>KNG5056</v>
          </cell>
          <cell r="Z140" t="str">
            <v/>
          </cell>
          <cell r="AA140" t="str">
            <v>Safeboot</v>
          </cell>
          <cell r="AB140" t="str">
            <v>HP Compaq 6710b</v>
          </cell>
          <cell r="AC140" t="str">
            <v>RJ459AV</v>
          </cell>
          <cell r="AD140" t="str">
            <v>CNU8140TG9</v>
          </cell>
          <cell r="AE140" t="str">
            <v>リコーImagio MPC3000</v>
          </cell>
          <cell r="AF140" t="str">
            <v>201.255.011.024</v>
          </cell>
          <cell r="AG140" t="str">
            <v>リコーIpsio SP 6220</v>
          </cell>
          <cell r="AH140" t="str">
            <v>201.255.011.029</v>
          </cell>
          <cell r="AI140" t="str">
            <v/>
          </cell>
          <cell r="AJ140" t="str">
            <v/>
          </cell>
          <cell r="AK140" t="str">
            <v>WindowsXP(SP2)</v>
          </cell>
          <cell r="AL140" t="str">
            <v>KN-01</v>
          </cell>
          <cell r="AM140" t="str">
            <v/>
          </cell>
          <cell r="AN140" t="str">
            <v>201.255.011.001</v>
          </cell>
          <cell r="AO140" t="str">
            <v/>
          </cell>
          <cell r="AP140" t="str">
            <v/>
          </cell>
          <cell r="AQ140" t="str">
            <v>KNG11080</v>
          </cell>
          <cell r="AR140" t="str">
            <v>CCIT</v>
          </cell>
          <cell r="AS140" t="str">
            <v/>
          </cell>
          <cell r="AT140" t="str">
            <v/>
          </cell>
          <cell r="AU140" t="str">
            <v/>
          </cell>
          <cell r="AV140" t="str">
            <v/>
          </cell>
          <cell r="AW140" t="str">
            <v/>
          </cell>
          <cell r="AX140" t="str">
            <v/>
          </cell>
          <cell r="AY140" t="str">
            <v/>
          </cell>
          <cell r="AZ140" t="str">
            <v>MCCドメインのID設定</v>
          </cell>
          <cell r="BB140">
            <v>2970</v>
          </cell>
          <cell r="BD140" t="str">
            <v>JED8110478</v>
          </cell>
          <cell r="BE140" t="str">
            <v>SafeBoot</v>
          </cell>
        </row>
        <row r="141">
          <cell r="F141">
            <v>130</v>
          </cell>
          <cell r="G141" t="str">
            <v>201.255.011.106</v>
          </cell>
          <cell r="H141" t="str">
            <v/>
          </cell>
          <cell r="I141" t="str">
            <v>RSI</v>
          </cell>
          <cell r="J141" t="str">
            <v/>
          </cell>
          <cell r="K141" t="str">
            <v/>
          </cell>
          <cell r="L141" t="str">
            <v>第３者保守</v>
          </cell>
          <cell r="M141">
            <v>40179</v>
          </cell>
          <cell r="N141">
            <v>41639</v>
          </cell>
          <cell r="Q141" t="str">
            <v/>
          </cell>
          <cell r="R141" t="str">
            <v>PC</v>
          </cell>
          <cell r="S141" t="str">
            <v>無線</v>
          </cell>
          <cell r="T141" t="str">
            <v>尼崎</v>
          </cell>
          <cell r="U141" t="str">
            <v>本社</v>
          </cell>
          <cell r="V141" t="str">
            <v>関西熱化学</v>
          </cell>
          <cell r="W141" t="str">
            <v>ＣＳＲ推進部</v>
          </cell>
          <cell r="X141" t="str">
            <v>盛田　晃</v>
          </cell>
          <cell r="Y141" t="str">
            <v>KNG5099</v>
          </cell>
          <cell r="Z141" t="str">
            <v/>
          </cell>
          <cell r="AA141" t="str">
            <v>Safeboot</v>
          </cell>
          <cell r="AB141" t="str">
            <v>FMV-R8280</v>
          </cell>
          <cell r="AC141" t="str">
            <v>FMVNR9P1C</v>
          </cell>
          <cell r="AD141" t="str">
            <v>R9901947</v>
          </cell>
          <cell r="AE141" t="str">
            <v>リコーImagio MPC3500</v>
          </cell>
          <cell r="AF141" t="str">
            <v>201.255.011.030</v>
          </cell>
          <cell r="AG141" t="str">
            <v>リコーImagio MPC3000</v>
          </cell>
          <cell r="AH141" t="str">
            <v>201.255.011.027</v>
          </cell>
          <cell r="AI141" t="str">
            <v/>
          </cell>
          <cell r="AJ141" t="str">
            <v/>
          </cell>
          <cell r="AK141" t="str">
            <v>WindowsXP(SP2)</v>
          </cell>
          <cell r="AL141" t="str">
            <v>KN-01</v>
          </cell>
          <cell r="AM141" t="str">
            <v/>
          </cell>
          <cell r="AN141" t="str">
            <v>201.255.011.001</v>
          </cell>
          <cell r="AO141" t="str">
            <v>興銀リース</v>
          </cell>
          <cell r="AP141" t="str">
            <v>07-410023</v>
          </cell>
          <cell r="AQ141" t="str">
            <v>KNG11106</v>
          </cell>
          <cell r="AR141" t="str">
            <v>CCIT</v>
          </cell>
          <cell r="AS141" t="str">
            <v/>
          </cell>
          <cell r="AT141" t="str">
            <v/>
          </cell>
          <cell r="AU141" t="str">
            <v/>
          </cell>
          <cell r="AV141" t="str">
            <v/>
          </cell>
          <cell r="AW141" t="str">
            <v/>
          </cell>
          <cell r="AX141" t="str">
            <v/>
          </cell>
          <cell r="AY141" t="str">
            <v/>
          </cell>
          <cell r="AZ141" t="str">
            <v>Dell19インチ E1909WB ワイドモニター(大西工場長使用分）</v>
          </cell>
          <cell r="BA141">
            <v>44539</v>
          </cell>
          <cell r="BC141">
            <v>800</v>
          </cell>
          <cell r="BD141" t="str">
            <v/>
          </cell>
          <cell r="BE141" t="str">
            <v>SafeBoot</v>
          </cell>
        </row>
        <row r="142">
          <cell r="F142">
            <v>119</v>
          </cell>
          <cell r="G142" t="str">
            <v>201.255.011.124</v>
          </cell>
          <cell r="H142" t="str">
            <v/>
          </cell>
          <cell r="I142" t="str">
            <v>KN</v>
          </cell>
          <cell r="J142" t="str">
            <v/>
          </cell>
          <cell r="K142" t="str">
            <v>TG07P0061</v>
          </cell>
          <cell r="L142" t="str">
            <v>第３者保守</v>
          </cell>
          <cell r="M142">
            <v>39264</v>
          </cell>
          <cell r="N142">
            <v>40724</v>
          </cell>
          <cell r="Q142" t="str">
            <v/>
          </cell>
          <cell r="R142" t="str">
            <v>PC</v>
          </cell>
          <cell r="S142" t="str">
            <v>無線</v>
          </cell>
          <cell r="T142" t="str">
            <v>尼崎</v>
          </cell>
          <cell r="U142" t="str">
            <v>本社</v>
          </cell>
          <cell r="V142" t="str">
            <v>関西熱化学</v>
          </cell>
          <cell r="W142" t="str">
            <v>経理財務部</v>
          </cell>
          <cell r="X142" t="str">
            <v>松本　誠司</v>
          </cell>
          <cell r="Y142" t="str">
            <v>KNG5115</v>
          </cell>
          <cell r="Z142" t="str">
            <v/>
          </cell>
          <cell r="AA142" t="str">
            <v>Safeboot</v>
          </cell>
          <cell r="AB142" t="str">
            <v>ThinkPad R60e</v>
          </cell>
          <cell r="AC142" t="str">
            <v>0658-BJ6</v>
          </cell>
          <cell r="AD142" t="str">
            <v>L3-ET261</v>
          </cell>
          <cell r="AE142" t="str">
            <v>リコーImagio MPC3500</v>
          </cell>
          <cell r="AF142" t="str">
            <v>201.255.011.030</v>
          </cell>
          <cell r="AG142" t="str">
            <v>リコーImagio MPC3000</v>
          </cell>
          <cell r="AH142" t="str">
            <v>201.255.011.027</v>
          </cell>
          <cell r="AI142" t="str">
            <v>リコーIpsio SP 6220</v>
          </cell>
          <cell r="AJ142" t="str">
            <v>201.255.011.029</v>
          </cell>
          <cell r="AK142" t="str">
            <v>WindowsXP(SP2)</v>
          </cell>
          <cell r="AL142" t="str">
            <v>KN-01</v>
          </cell>
          <cell r="AM142" t="str">
            <v/>
          </cell>
          <cell r="AN142" t="str">
            <v>201.255.011.001</v>
          </cell>
          <cell r="AO142" t="str">
            <v>協同リース</v>
          </cell>
          <cell r="AP142" t="str">
            <v>A7820292</v>
          </cell>
          <cell r="AQ142" t="str">
            <v>KNG11124</v>
          </cell>
          <cell r="AR142" t="str">
            <v>CCIT</v>
          </cell>
          <cell r="AS142" t="str">
            <v/>
          </cell>
          <cell r="AT142" t="str">
            <v/>
          </cell>
          <cell r="AU142" t="str">
            <v/>
          </cell>
          <cell r="AV142" t="str">
            <v/>
          </cell>
          <cell r="AW142" t="str">
            <v/>
          </cell>
          <cell r="AX142" t="str">
            <v/>
          </cell>
          <cell r="AY142" t="str">
            <v/>
          </cell>
          <cell r="AZ142" t="str">
            <v>変動費・原料炭費は経理財務部全員が使用、2010/2/3MV-D2/N667-512M納品（保障は6年）</v>
          </cell>
          <cell r="BC142">
            <v>800</v>
          </cell>
          <cell r="BD142" t="str">
            <v/>
          </cell>
          <cell r="BE142" t="str">
            <v>SafeBoot</v>
          </cell>
        </row>
        <row r="143">
          <cell r="F143">
            <v>55</v>
          </cell>
          <cell r="G143" t="str">
            <v>201.255.011.054</v>
          </cell>
          <cell r="H143" t="str">
            <v/>
          </cell>
          <cell r="I143" t="str">
            <v>RSI</v>
          </cell>
          <cell r="J143" t="str">
            <v/>
          </cell>
          <cell r="K143" t="str">
            <v/>
          </cell>
          <cell r="L143" t="str">
            <v>ＨＰCarePack</v>
          </cell>
          <cell r="M143">
            <v>39995</v>
          </cell>
          <cell r="N143">
            <v>41455</v>
          </cell>
          <cell r="Q143" t="str">
            <v/>
          </cell>
          <cell r="R143" t="str">
            <v>PC</v>
          </cell>
          <cell r="S143" t="str">
            <v/>
          </cell>
          <cell r="T143" t="str">
            <v>尼崎</v>
          </cell>
          <cell r="U143" t="str">
            <v>本社</v>
          </cell>
          <cell r="V143" t="str">
            <v>関西熱化学</v>
          </cell>
          <cell r="W143" t="str">
            <v>総務人事部　人事</v>
          </cell>
          <cell r="X143" t="str">
            <v>徳永 真幸</v>
          </cell>
          <cell r="Y143" t="str">
            <v>KNG5144</v>
          </cell>
          <cell r="Z143" t="str">
            <v/>
          </cell>
          <cell r="AA143" t="str">
            <v/>
          </cell>
          <cell r="AB143" t="str">
            <v>HP Compaq 6730b</v>
          </cell>
          <cell r="AC143" t="str">
            <v>GW687AV</v>
          </cell>
          <cell r="AD143" t="str">
            <v>CNU9153FTP</v>
          </cell>
          <cell r="AE143" t="str">
            <v>リコーImagio MPC3000</v>
          </cell>
          <cell r="AF143" t="str">
            <v>201.255.011.024</v>
          </cell>
          <cell r="AG143" t="str">
            <v>リコーIpsio SP 6220</v>
          </cell>
          <cell r="AH143" t="str">
            <v>201.255.011.029</v>
          </cell>
          <cell r="AI143" t="str">
            <v/>
          </cell>
          <cell r="AJ143" t="str">
            <v/>
          </cell>
          <cell r="AK143" t="str">
            <v>WindowsXP(SP2)</v>
          </cell>
          <cell r="AL143" t="str">
            <v>KN-01</v>
          </cell>
          <cell r="AM143" t="str">
            <v/>
          </cell>
          <cell r="AN143" t="str">
            <v>201.255.011.001</v>
          </cell>
          <cell r="AO143" t="str">
            <v/>
          </cell>
          <cell r="AP143" t="str">
            <v/>
          </cell>
          <cell r="AQ143" t="str">
            <v>KNG11054</v>
          </cell>
          <cell r="AR143" t="str">
            <v>CCIT</v>
          </cell>
          <cell r="AS143" t="str">
            <v/>
          </cell>
          <cell r="AT143" t="str">
            <v/>
          </cell>
          <cell r="AU143" t="str">
            <v/>
          </cell>
          <cell r="AV143" t="str">
            <v/>
          </cell>
          <cell r="AW143" t="str">
            <v/>
          </cell>
          <cell r="AX143" t="str">
            <v/>
          </cell>
          <cell r="AY143" t="str">
            <v/>
          </cell>
          <cell r="AZ143" t="str">
            <v>テンキー（IBM）使用　MCCドメインのID設定</v>
          </cell>
          <cell r="BA143">
            <v>40247</v>
          </cell>
          <cell r="BB143">
            <v>2780</v>
          </cell>
          <cell r="BD143" t="str">
            <v>JED8117587</v>
          </cell>
          <cell r="BE143" t="str">
            <v>Safeboot</v>
          </cell>
        </row>
        <row r="144">
          <cell r="F144">
            <v>23</v>
          </cell>
          <cell r="G144" t="str">
            <v>201.255.011.093</v>
          </cell>
          <cell r="H144" t="str">
            <v/>
          </cell>
          <cell r="I144" t="str">
            <v>RSI</v>
          </cell>
          <cell r="J144" t="str">
            <v/>
          </cell>
          <cell r="K144" t="str">
            <v/>
          </cell>
          <cell r="L144" t="str">
            <v>ＨＰCarePack</v>
          </cell>
          <cell r="M144">
            <v>39995</v>
          </cell>
          <cell r="N144">
            <v>41455</v>
          </cell>
          <cell r="Q144" t="str">
            <v/>
          </cell>
          <cell r="R144" t="str">
            <v>PC</v>
          </cell>
          <cell r="S144" t="str">
            <v>無線</v>
          </cell>
          <cell r="T144" t="str">
            <v>尼崎</v>
          </cell>
          <cell r="U144" t="str">
            <v>本社</v>
          </cell>
          <cell r="V144" t="str">
            <v>関西熱化学</v>
          </cell>
          <cell r="W144" t="str">
            <v>経理財務部</v>
          </cell>
          <cell r="X144" t="str">
            <v>小牟禮 智則</v>
          </cell>
          <cell r="Y144" t="str">
            <v>KNG5145</v>
          </cell>
          <cell r="Z144" t="str">
            <v/>
          </cell>
          <cell r="AA144" t="str">
            <v>SafeBoot</v>
          </cell>
          <cell r="AB144" t="str">
            <v>HP Compaq 6730b</v>
          </cell>
          <cell r="AC144" t="str">
            <v>GW687AV</v>
          </cell>
          <cell r="AD144" t="str">
            <v>CNU9153H6M</v>
          </cell>
          <cell r="AE144" t="str">
            <v>リコーImagio MPC3500</v>
          </cell>
          <cell r="AF144" t="str">
            <v>201.255.011.030</v>
          </cell>
          <cell r="AG144" t="str">
            <v>リコーImagio MPC3000</v>
          </cell>
          <cell r="AH144" t="str">
            <v>201.255.011.027</v>
          </cell>
          <cell r="AI144" t="str">
            <v>リコーIpsio SP 6220</v>
          </cell>
          <cell r="AJ144" t="str">
            <v>201.255.011.029</v>
          </cell>
          <cell r="AK144" t="str">
            <v>WindowsXP(SP2)</v>
          </cell>
          <cell r="AL144" t="str">
            <v>KN-01</v>
          </cell>
          <cell r="AM144" t="str">
            <v/>
          </cell>
          <cell r="AN144" t="str">
            <v>201.255.011.001</v>
          </cell>
          <cell r="AO144" t="str">
            <v/>
          </cell>
          <cell r="AP144" t="str">
            <v/>
          </cell>
          <cell r="AQ144" t="str">
            <v>KNG11093</v>
          </cell>
          <cell r="AR144" t="str">
            <v>CCIT</v>
          </cell>
          <cell r="AS144" t="str">
            <v/>
          </cell>
          <cell r="AT144" t="str">
            <v/>
          </cell>
          <cell r="AU144" t="str">
            <v/>
          </cell>
          <cell r="AV144" t="str">
            <v/>
          </cell>
          <cell r="AW144" t="str">
            <v/>
          </cell>
          <cell r="AX144" t="str">
            <v/>
          </cell>
          <cell r="AY144" t="str">
            <v/>
          </cell>
          <cell r="AZ144" t="str">
            <v>変動費・原料炭費は経理財務部全員が使用</v>
          </cell>
          <cell r="BB144">
            <v>2780</v>
          </cell>
          <cell r="BD144" t="str">
            <v>JED8117588</v>
          </cell>
          <cell r="BE144" t="str">
            <v>SafeBoot</v>
          </cell>
        </row>
        <row r="145">
          <cell r="F145">
            <v>34</v>
          </cell>
          <cell r="G145" t="str">
            <v>201.255.011.078</v>
          </cell>
          <cell r="H145" t="str">
            <v/>
          </cell>
          <cell r="I145" t="str">
            <v>RSI</v>
          </cell>
          <cell r="J145" t="str">
            <v/>
          </cell>
          <cell r="K145" t="str">
            <v/>
          </cell>
          <cell r="L145" t="str">
            <v>ＨＰCarePack</v>
          </cell>
          <cell r="M145">
            <v>39995</v>
          </cell>
          <cell r="N145">
            <v>41455</v>
          </cell>
          <cell r="Q145" t="str">
            <v/>
          </cell>
          <cell r="R145" t="str">
            <v>PC</v>
          </cell>
          <cell r="S145" t="str">
            <v>無線</v>
          </cell>
          <cell r="T145" t="str">
            <v>尼崎</v>
          </cell>
          <cell r="U145" t="str">
            <v>本社</v>
          </cell>
          <cell r="V145" t="str">
            <v>カーボンテック</v>
          </cell>
          <cell r="W145" t="str">
            <v>機能材営業部</v>
          </cell>
          <cell r="X145" t="str">
            <v>長 佳世子</v>
          </cell>
          <cell r="Y145" t="str">
            <v>KNG5148</v>
          </cell>
          <cell r="Z145" t="str">
            <v/>
          </cell>
          <cell r="AA145" t="str">
            <v>SafeBoot</v>
          </cell>
          <cell r="AB145" t="str">
            <v>HP Compaq 6730b</v>
          </cell>
          <cell r="AC145" t="str">
            <v>GW687AV</v>
          </cell>
          <cell r="AD145" t="str">
            <v>CNU9153FM1</v>
          </cell>
          <cell r="AE145" t="str">
            <v>リコーImagio MPC3500</v>
          </cell>
          <cell r="AF145" t="str">
            <v>201.255.011.030</v>
          </cell>
          <cell r="AG145" t="str">
            <v>リコーImagio MPC3000</v>
          </cell>
          <cell r="AH145" t="str">
            <v>201.255.011.027</v>
          </cell>
          <cell r="AI145" t="str">
            <v/>
          </cell>
          <cell r="AJ145" t="str">
            <v/>
          </cell>
          <cell r="AK145" t="str">
            <v>WindowsXP(SP2)</v>
          </cell>
          <cell r="AL145" t="str">
            <v>CT</v>
          </cell>
          <cell r="AM145" t="str">
            <v/>
          </cell>
          <cell r="AN145" t="str">
            <v>201.255.011.001</v>
          </cell>
          <cell r="AO145" t="str">
            <v/>
          </cell>
          <cell r="AP145" t="str">
            <v/>
          </cell>
          <cell r="AQ145" t="str">
            <v>KNG11078</v>
          </cell>
          <cell r="AR145" t="str">
            <v>CCIT</v>
          </cell>
          <cell r="AS145" t="str">
            <v/>
          </cell>
          <cell r="AT145" t="str">
            <v/>
          </cell>
          <cell r="AU145" t="str">
            <v/>
          </cell>
          <cell r="AV145" t="str">
            <v/>
          </cell>
          <cell r="AW145" t="str">
            <v/>
          </cell>
          <cell r="AX145" t="str">
            <v/>
          </cell>
          <cell r="AY145" t="str">
            <v/>
          </cell>
          <cell r="AZ145" t="str">
            <v/>
          </cell>
          <cell r="BB145">
            <v>2780</v>
          </cell>
          <cell r="BD145" t="str">
            <v>JED8117648</v>
          </cell>
          <cell r="BE145" t="str">
            <v>SafeBoot</v>
          </cell>
        </row>
        <row r="146">
          <cell r="F146">
            <v>137</v>
          </cell>
          <cell r="G146" t="str">
            <v>201.255.041.161</v>
          </cell>
          <cell r="H146" t="str">
            <v/>
          </cell>
          <cell r="I146" t="str">
            <v>KNE</v>
          </cell>
          <cell r="J146" t="str">
            <v/>
          </cell>
          <cell r="K146" t="str">
            <v>TG07P0013</v>
          </cell>
          <cell r="L146" t="str">
            <v>第３者保守</v>
          </cell>
          <cell r="M146">
            <v>39114</v>
          </cell>
          <cell r="N146">
            <v>40574</v>
          </cell>
          <cell r="Q146" t="str">
            <v/>
          </cell>
          <cell r="R146" t="str">
            <v>PC</v>
          </cell>
          <cell r="S146" t="str">
            <v/>
          </cell>
          <cell r="T146" t="str">
            <v>尼崎</v>
          </cell>
          <cell r="U146" t="str">
            <v>北門</v>
          </cell>
          <cell r="V146" t="str">
            <v>ＫＮエンタープライズ</v>
          </cell>
          <cell r="W146" t="str">
            <v>不動産総合サービス事業部　甲子園寮</v>
          </cell>
          <cell r="X146" t="str">
            <v>濱田　三千代</v>
          </cell>
          <cell r="Y146" t="str">
            <v>KNG5174</v>
          </cell>
          <cell r="Z146" t="str">
            <v/>
          </cell>
          <cell r="AA146" t="str">
            <v>モバイル</v>
          </cell>
          <cell r="AB146" t="str">
            <v>ThinkPad R60e</v>
          </cell>
          <cell r="AC146" t="str">
            <v>0658-AJ5</v>
          </cell>
          <cell r="AD146" t="str">
            <v>L3-F6110</v>
          </cell>
          <cell r="AE146" t="str">
            <v>EPSON PM-3500C</v>
          </cell>
          <cell r="AF146" t="str">
            <v>ローカル接続　CZAKZ00171</v>
          </cell>
          <cell r="AG146" t="str">
            <v/>
          </cell>
          <cell r="AH146" t="str">
            <v/>
          </cell>
          <cell r="AI146" t="str">
            <v/>
          </cell>
          <cell r="AJ146" t="str">
            <v/>
          </cell>
          <cell r="AK146" t="str">
            <v>WindowsXP(SP2)</v>
          </cell>
          <cell r="AL146" t="str">
            <v>KNE-不ｻｰﾋﾞｽ</v>
          </cell>
          <cell r="AM146" t="str">
            <v/>
          </cell>
          <cell r="AN146" t="str">
            <v>201.255.041.001</v>
          </cell>
          <cell r="AO146" t="str">
            <v>協同リース</v>
          </cell>
          <cell r="AP146" t="str">
            <v>A6821167</v>
          </cell>
          <cell r="AQ146" t="str">
            <v>KNG41161</v>
          </cell>
          <cell r="AR146" t="str">
            <v>CCIT</v>
          </cell>
          <cell r="AS146" t="str">
            <v/>
          </cell>
          <cell r="AT146" t="str">
            <v/>
          </cell>
          <cell r="AU146" t="str">
            <v/>
          </cell>
          <cell r="AV146" t="str">
            <v/>
          </cell>
          <cell r="AW146" t="str">
            <v/>
          </cell>
          <cell r="AX146" t="str">
            <v/>
          </cell>
          <cell r="AY146" t="str">
            <v/>
          </cell>
          <cell r="AZ146" t="str">
            <v>0798-46-1143レジェンダリー甲子園</v>
          </cell>
          <cell r="BC146">
            <v>800</v>
          </cell>
          <cell r="BD146" t="str">
            <v/>
          </cell>
          <cell r="BE146" t="str">
            <v>SafeBoot</v>
          </cell>
        </row>
        <row r="147">
          <cell r="F147">
            <v>110</v>
          </cell>
          <cell r="G147" t="str">
            <v>201.255.011.022</v>
          </cell>
          <cell r="H147" t="str">
            <v/>
          </cell>
          <cell r="I147" t="str">
            <v>RSI</v>
          </cell>
          <cell r="J147" t="str">
            <v/>
          </cell>
          <cell r="K147" t="str">
            <v/>
          </cell>
          <cell r="L147" t="str">
            <v>ﾊﾟﾅｿﾆｯｸﾒｰｶｰ保守</v>
          </cell>
          <cell r="M147">
            <v>39995</v>
          </cell>
          <cell r="N147">
            <v>41455</v>
          </cell>
          <cell r="Q147" t="str">
            <v/>
          </cell>
          <cell r="R147" t="str">
            <v>PC</v>
          </cell>
          <cell r="S147" t="str">
            <v/>
          </cell>
          <cell r="T147" t="str">
            <v>尼崎</v>
          </cell>
          <cell r="U147" t="str">
            <v>本社</v>
          </cell>
          <cell r="V147" t="str">
            <v>関西熱化学</v>
          </cell>
          <cell r="W147" t="str">
            <v>総務人事部</v>
          </cell>
          <cell r="X147" t="str">
            <v>樫尾　昭彦</v>
          </cell>
          <cell r="Y147" t="str">
            <v>KNG5185</v>
          </cell>
          <cell r="Z147">
            <v>1</v>
          </cell>
          <cell r="AA147" t="str">
            <v>モバイル</v>
          </cell>
          <cell r="AB147" t="str">
            <v>CF-R8</v>
          </cell>
          <cell r="AC147" t="str">
            <v>CF-R8FW1AAS</v>
          </cell>
          <cell r="AD147" t="str">
            <v>9DKSA17834</v>
          </cell>
          <cell r="AE147" t="str">
            <v>リコーimagio MPC3000</v>
          </cell>
          <cell r="AF147" t="str">
            <v>201.255.011.024</v>
          </cell>
          <cell r="AG147" t="str">
            <v/>
          </cell>
          <cell r="AH147" t="str">
            <v/>
          </cell>
          <cell r="AI147" t="str">
            <v/>
          </cell>
          <cell r="AJ147" t="str">
            <v/>
          </cell>
          <cell r="AK147" t="str">
            <v>WindowsXP(SP2)</v>
          </cell>
          <cell r="AL147" t="str">
            <v>KN-01</v>
          </cell>
          <cell r="AM147" t="str">
            <v/>
          </cell>
          <cell r="AN147" t="str">
            <v>201.255.011.001</v>
          </cell>
          <cell r="AO147" t="str">
            <v/>
          </cell>
          <cell r="AP147" t="str">
            <v/>
          </cell>
          <cell r="AQ147" t="str">
            <v>KNG11022</v>
          </cell>
          <cell r="AR147" t="str">
            <v>CCIT</v>
          </cell>
          <cell r="AS147" t="str">
            <v/>
          </cell>
          <cell r="AT147" t="str">
            <v/>
          </cell>
          <cell r="AU147" t="str">
            <v/>
          </cell>
          <cell r="AV147" t="str">
            <v/>
          </cell>
          <cell r="AW147" t="str">
            <v/>
          </cell>
          <cell r="AX147" t="str">
            <v/>
          </cell>
          <cell r="AY147" t="str">
            <v/>
          </cell>
          <cell r="AZ147" t="str">
            <v/>
          </cell>
          <cell r="BB147">
            <v>4560</v>
          </cell>
          <cell r="BD147" t="str">
            <v/>
          </cell>
          <cell r="BE147" t="str">
            <v>SafeBoot</v>
          </cell>
        </row>
        <row r="148">
          <cell r="F148">
            <v>111</v>
          </cell>
          <cell r="G148" t="str">
            <v>201.255.011.061</v>
          </cell>
          <cell r="H148" t="str">
            <v/>
          </cell>
          <cell r="I148" t="str">
            <v>RSI</v>
          </cell>
          <cell r="J148" t="str">
            <v/>
          </cell>
          <cell r="K148" t="str">
            <v/>
          </cell>
          <cell r="L148" t="str">
            <v>ＨＰCarePack</v>
          </cell>
          <cell r="M148">
            <v>39995</v>
          </cell>
          <cell r="N148">
            <v>41425</v>
          </cell>
          <cell r="Q148" t="str">
            <v/>
          </cell>
          <cell r="R148" t="str">
            <v>PC</v>
          </cell>
          <cell r="S148" t="str">
            <v>無線</v>
          </cell>
          <cell r="T148" t="str">
            <v>尼崎</v>
          </cell>
          <cell r="U148" t="str">
            <v>本社</v>
          </cell>
          <cell r="V148" t="str">
            <v>関西熱化学</v>
          </cell>
          <cell r="W148" t="str">
            <v>総務人事部</v>
          </cell>
          <cell r="X148" t="str">
            <v>樫尾　昭彦</v>
          </cell>
          <cell r="Y148" t="str">
            <v>KNG5185</v>
          </cell>
          <cell r="Z148" t="str">
            <v/>
          </cell>
          <cell r="AA148" t="str">
            <v>Safeboot</v>
          </cell>
          <cell r="AB148" t="str">
            <v>HP Compaq 6730b</v>
          </cell>
          <cell r="AC148" t="str">
            <v>GW687AV</v>
          </cell>
          <cell r="AD148" t="str">
            <v>CNU9153H0T</v>
          </cell>
          <cell r="AE148" t="str">
            <v>リコーimagio MPC3500</v>
          </cell>
          <cell r="AF148" t="str">
            <v>201.255.011.030</v>
          </cell>
          <cell r="AG148" t="str">
            <v>リコーimagio MPC3000</v>
          </cell>
          <cell r="AH148" t="str">
            <v>201.255.011.027</v>
          </cell>
          <cell r="AI148" t="str">
            <v>リコーimagio MPC3000</v>
          </cell>
          <cell r="AJ148" t="str">
            <v>201.255.011.024</v>
          </cell>
          <cell r="AK148" t="str">
            <v>WindowsXP(SP2)</v>
          </cell>
          <cell r="AL148" t="str">
            <v>KN-01</v>
          </cell>
          <cell r="AM148" t="str">
            <v/>
          </cell>
          <cell r="AN148" t="str">
            <v>201.255.011.001</v>
          </cell>
          <cell r="AO148" t="str">
            <v/>
          </cell>
          <cell r="AP148" t="str">
            <v/>
          </cell>
          <cell r="AQ148" t="str">
            <v>KNG11061</v>
          </cell>
          <cell r="AR148" t="str">
            <v>CCIT</v>
          </cell>
          <cell r="AS148" t="str">
            <v/>
          </cell>
          <cell r="AT148" t="str">
            <v/>
          </cell>
          <cell r="AU148" t="str">
            <v/>
          </cell>
          <cell r="AV148" t="str">
            <v/>
          </cell>
          <cell r="AW148" t="str">
            <v/>
          </cell>
          <cell r="AX148" t="str">
            <v/>
          </cell>
          <cell r="AY148" t="str">
            <v/>
          </cell>
          <cell r="AZ148" t="str">
            <v/>
          </cell>
          <cell r="BB148">
            <v>2780</v>
          </cell>
          <cell r="BD148" t="str">
            <v>JED8117641</v>
          </cell>
          <cell r="BE148" t="str">
            <v>SafeBoot</v>
          </cell>
        </row>
        <row r="149">
          <cell r="F149">
            <v>102</v>
          </cell>
          <cell r="G149" t="str">
            <v>146.143.010.061</v>
          </cell>
          <cell r="H149" t="str">
            <v/>
          </cell>
          <cell r="I149" t="str">
            <v>KN</v>
          </cell>
          <cell r="J149" t="str">
            <v/>
          </cell>
          <cell r="K149" t="str">
            <v>TG07P0003</v>
          </cell>
          <cell r="L149" t="str">
            <v>ﾊﾟﾅｿﾆｯｸﾒｰｶｰ保守</v>
          </cell>
          <cell r="M149">
            <v>39083</v>
          </cell>
          <cell r="N149">
            <v>40543</v>
          </cell>
          <cell r="Q149" t="str">
            <v/>
          </cell>
          <cell r="R149" t="str">
            <v>PC</v>
          </cell>
          <cell r="S149" t="str">
            <v/>
          </cell>
          <cell r="T149" t="str">
            <v>加古川</v>
          </cell>
          <cell r="U149" t="str">
            <v>加古川工場</v>
          </cell>
          <cell r="V149" t="str">
            <v>関西熱化学</v>
          </cell>
          <cell r="W149" t="str">
            <v>工場長</v>
          </cell>
          <cell r="X149" t="str">
            <v>石川　邦夫</v>
          </cell>
          <cell r="Y149" t="str">
            <v>KNG5194</v>
          </cell>
          <cell r="Z149" t="str">
            <v/>
          </cell>
          <cell r="AA149" t="str">
            <v>モバイル</v>
          </cell>
          <cell r="AB149" t="str">
            <v>CF-R5</v>
          </cell>
          <cell r="AC149" t="str">
            <v>CF-R5KC4AXS</v>
          </cell>
          <cell r="AD149" t="str">
            <v>6HKSA17803</v>
          </cell>
          <cell r="AE149" t="str">
            <v>リコーImagio MPC2800</v>
          </cell>
          <cell r="AF149" t="str">
            <v>146.143.010.232</v>
          </cell>
          <cell r="AG149" t="str">
            <v/>
          </cell>
          <cell r="AH149" t="str">
            <v/>
          </cell>
          <cell r="AI149" t="str">
            <v/>
          </cell>
          <cell r="AJ149" t="str">
            <v/>
          </cell>
          <cell r="AK149" t="str">
            <v>WindowsXP(SP2)</v>
          </cell>
          <cell r="AL149" t="str">
            <v>KN-03</v>
          </cell>
          <cell r="AM149" t="str">
            <v/>
          </cell>
          <cell r="AN149" t="str">
            <v>146.143.001.001</v>
          </cell>
          <cell r="AO149" t="str">
            <v>ｾﾝﾁｭﾘｰ・ﾘｰｼﾝｸﾞ・ｼｽﾃﾑ</v>
          </cell>
          <cell r="AP149" t="str">
            <v>L07017157</v>
          </cell>
          <cell r="AQ149" t="str">
            <v>KNP3B061</v>
          </cell>
          <cell r="AR149" t="str">
            <v>CCIT</v>
          </cell>
          <cell r="AS149" t="str">
            <v/>
          </cell>
          <cell r="AT149" t="str">
            <v/>
          </cell>
          <cell r="AU149" t="str">
            <v/>
          </cell>
          <cell r="AV149" t="str">
            <v/>
          </cell>
          <cell r="AW149" t="str">
            <v/>
          </cell>
          <cell r="AX149" t="str">
            <v/>
          </cell>
          <cell r="AY149" t="str">
            <v/>
          </cell>
          <cell r="AZ149" t="str">
            <v/>
          </cell>
          <cell r="BB149">
            <v>4940</v>
          </cell>
          <cell r="BD149" t="str">
            <v/>
          </cell>
          <cell r="BE149" t="str">
            <v>SafeBoot</v>
          </cell>
        </row>
        <row r="150">
          <cell r="F150">
            <v>114</v>
          </cell>
          <cell r="G150" t="str">
            <v>146.143.010.158</v>
          </cell>
          <cell r="H150" t="str">
            <v/>
          </cell>
          <cell r="I150" t="str">
            <v>KN</v>
          </cell>
          <cell r="J150" t="str">
            <v/>
          </cell>
          <cell r="K150" t="str">
            <v>TG07P0027</v>
          </cell>
          <cell r="L150" t="str">
            <v>ﾊﾟﾅｿﾆｯｸﾒｰｶｰ保守</v>
          </cell>
          <cell r="M150">
            <v>39173</v>
          </cell>
          <cell r="N150">
            <v>40633</v>
          </cell>
          <cell r="Q150" t="str">
            <v/>
          </cell>
          <cell r="R150" t="str">
            <v>PC</v>
          </cell>
          <cell r="S150" t="str">
            <v/>
          </cell>
          <cell r="T150" t="str">
            <v>加古川</v>
          </cell>
          <cell r="U150" t="str">
            <v>加古川工場</v>
          </cell>
          <cell r="V150" t="str">
            <v>関西熱化学</v>
          </cell>
          <cell r="W150" t="str">
            <v>企画管理部　企画管理部長</v>
          </cell>
          <cell r="X150" t="str">
            <v>山村　雄次</v>
          </cell>
          <cell r="Y150" t="str">
            <v>KNG5195</v>
          </cell>
          <cell r="Z150" t="str">
            <v/>
          </cell>
          <cell r="AA150" t="str">
            <v>モバイル</v>
          </cell>
          <cell r="AB150" t="str">
            <v>CF-R5</v>
          </cell>
          <cell r="AC150" t="str">
            <v>CF-R5KC4AXS</v>
          </cell>
          <cell r="AD150" t="str">
            <v>6KKSA26882</v>
          </cell>
          <cell r="AE150" t="str">
            <v>リコーImagio MPC3300</v>
          </cell>
          <cell r="AF150" t="str">
            <v>146.143.010.228</v>
          </cell>
          <cell r="AG150" t="str">
            <v/>
          </cell>
          <cell r="AH150" t="str">
            <v/>
          </cell>
          <cell r="AI150" t="str">
            <v/>
          </cell>
          <cell r="AJ150" t="str">
            <v/>
          </cell>
          <cell r="AK150" t="str">
            <v>WindowsXP(SP2)</v>
          </cell>
          <cell r="AL150" t="str">
            <v>KN-03</v>
          </cell>
          <cell r="AM150" t="str">
            <v/>
          </cell>
          <cell r="AN150" t="str">
            <v>146.143.001.001</v>
          </cell>
          <cell r="AO150" t="str">
            <v>ｾﾝﾁｭﾘｰ・ﾘｰｼﾝｸﾞ・ｼｽﾃﾑ</v>
          </cell>
          <cell r="AP150" t="str">
            <v>L07048700</v>
          </cell>
          <cell r="AQ150" t="str">
            <v>KNP3B158</v>
          </cell>
          <cell r="AR150" t="str">
            <v>CCIT</v>
          </cell>
          <cell r="AS150" t="str">
            <v/>
          </cell>
          <cell r="AT150" t="str">
            <v/>
          </cell>
          <cell r="AU150" t="str">
            <v/>
          </cell>
          <cell r="AV150" t="str">
            <v/>
          </cell>
          <cell r="AW150" t="str">
            <v/>
          </cell>
          <cell r="AX150" t="str">
            <v/>
          </cell>
          <cell r="AY150" t="str">
            <v/>
          </cell>
          <cell r="AZ150" t="str">
            <v/>
          </cell>
          <cell r="BA150">
            <v>46000</v>
          </cell>
          <cell r="BB150">
            <v>4920</v>
          </cell>
          <cell r="BD150" t="str">
            <v/>
          </cell>
          <cell r="BE150" t="str">
            <v>SafeBoot</v>
          </cell>
        </row>
        <row r="151">
          <cell r="F151">
            <v>13</v>
          </cell>
          <cell r="G151" t="str">
            <v>192.168.021.081</v>
          </cell>
          <cell r="H151" t="str">
            <v/>
          </cell>
          <cell r="I151" t="str">
            <v>RSI</v>
          </cell>
          <cell r="J151" t="str">
            <v/>
          </cell>
          <cell r="K151" t="str">
            <v/>
          </cell>
          <cell r="L151" t="str">
            <v>ﾊﾟﾅｿﾆｯｸﾒｰｶｰ保守</v>
          </cell>
          <cell r="M151">
            <v>39873</v>
          </cell>
          <cell r="N151">
            <v>41333</v>
          </cell>
          <cell r="Q151" t="str">
            <v/>
          </cell>
          <cell r="R151" t="str">
            <v>PC</v>
          </cell>
          <cell r="S151" t="str">
            <v/>
          </cell>
          <cell r="T151" t="str">
            <v>大阪</v>
          </cell>
          <cell r="U151" t="str">
            <v>大阪工場</v>
          </cell>
          <cell r="V151" t="str">
            <v>大阪化成</v>
          </cell>
          <cell r="W151" t="str">
            <v>事務所</v>
          </cell>
          <cell r="X151" t="str">
            <v>池田　昌久</v>
          </cell>
          <cell r="Y151" t="str">
            <v>KNG7007</v>
          </cell>
          <cell r="Z151" t="str">
            <v/>
          </cell>
          <cell r="AA151" t="str">
            <v>モバイル</v>
          </cell>
          <cell r="AB151" t="str">
            <v>CF-R7</v>
          </cell>
          <cell r="AC151" t="str">
            <v>CF-R7DW6AAS</v>
          </cell>
          <cell r="AD151" t="str">
            <v>8JKSB43762</v>
          </cell>
          <cell r="AE151" t="str">
            <v>リコーIpsio NX860e</v>
          </cell>
          <cell r="AF151" t="str">
            <v>192.168.021.201</v>
          </cell>
          <cell r="AG151" t="str">
            <v/>
          </cell>
          <cell r="AH151" t="str">
            <v/>
          </cell>
          <cell r="AI151" t="str">
            <v/>
          </cell>
          <cell r="AJ151" t="str">
            <v/>
          </cell>
          <cell r="AK151" t="str">
            <v>WindowsXP(SP2)</v>
          </cell>
          <cell r="AL151" t="str">
            <v>OKC</v>
          </cell>
          <cell r="AM151" t="str">
            <v/>
          </cell>
          <cell r="AN151" t="str">
            <v>192.168.001.001</v>
          </cell>
          <cell r="AO151" t="str">
            <v/>
          </cell>
          <cell r="AP151" t="str">
            <v/>
          </cell>
          <cell r="AQ151" t="str">
            <v>KNG21081</v>
          </cell>
          <cell r="AR151" t="str">
            <v>CCIT</v>
          </cell>
          <cell r="AS151" t="str">
            <v>PC/3270 (2005/10化）</v>
          </cell>
          <cell r="AT151" t="str">
            <v/>
          </cell>
          <cell r="AU151" t="str">
            <v>MKE06D,34D/DSP18052</v>
          </cell>
          <cell r="AV151" t="str">
            <v>MKE06P&amp;/PRN0D069</v>
          </cell>
          <cell r="AW151" t="str">
            <v>202.25.217.27/202.25.217.28</v>
          </cell>
          <cell r="AX151" t="str">
            <v/>
          </cell>
          <cell r="AY151" t="str">
            <v/>
          </cell>
          <cell r="AZ151" t="str">
            <v/>
          </cell>
          <cell r="BB151">
            <v>4640</v>
          </cell>
          <cell r="BD151" t="str">
            <v/>
          </cell>
          <cell r="BE151" t="str">
            <v>SafeBoot</v>
          </cell>
        </row>
        <row r="152">
          <cell r="F152">
            <v>19</v>
          </cell>
          <cell r="G152" t="str">
            <v>192.168.021.106</v>
          </cell>
          <cell r="H152" t="str">
            <v/>
          </cell>
          <cell r="I152" t="str">
            <v>RSI</v>
          </cell>
          <cell r="J152" t="str">
            <v/>
          </cell>
          <cell r="K152" t="str">
            <v/>
          </cell>
          <cell r="L152" t="str">
            <v>ﾊﾟﾅｿﾆｯｸﾒｰｶｰ保守</v>
          </cell>
          <cell r="M152">
            <v>40087</v>
          </cell>
          <cell r="N152">
            <v>41547</v>
          </cell>
          <cell r="Q152" t="str">
            <v/>
          </cell>
          <cell r="R152" t="str">
            <v>PC</v>
          </cell>
          <cell r="S152" t="str">
            <v/>
          </cell>
          <cell r="T152" t="str">
            <v>大阪</v>
          </cell>
          <cell r="U152" t="str">
            <v>大阪工場</v>
          </cell>
          <cell r="V152" t="str">
            <v>大阪化成</v>
          </cell>
          <cell r="W152" t="str">
            <v>事務所</v>
          </cell>
          <cell r="X152" t="str">
            <v>三根　みゆき</v>
          </cell>
          <cell r="Y152" t="str">
            <v>KNG7009</v>
          </cell>
          <cell r="Z152" t="str">
            <v/>
          </cell>
          <cell r="AA152" t="str">
            <v>モバイル</v>
          </cell>
          <cell r="AB152" t="str">
            <v>CF-R8</v>
          </cell>
          <cell r="AC152" t="str">
            <v>CF-R8FW1AAS</v>
          </cell>
          <cell r="AD152" t="str">
            <v>9EKSA19331</v>
          </cell>
          <cell r="AE152" t="str">
            <v>リコーIpsio NX860e</v>
          </cell>
          <cell r="AF152" t="str">
            <v>192.168.021.201</v>
          </cell>
          <cell r="AG152" t="str">
            <v>Canon iR C3220N</v>
          </cell>
          <cell r="AH152" t="str">
            <v/>
          </cell>
          <cell r="AI152" t="str">
            <v>リコーIpsio SP6210</v>
          </cell>
          <cell r="AJ152" t="str">
            <v>ﾛｰｶﾙ接続（A4PCが利用できない場合の販物用）</v>
          </cell>
          <cell r="AK152" t="str">
            <v>WindowsXP(SP2)</v>
          </cell>
          <cell r="AL152" t="str">
            <v>OKC</v>
          </cell>
          <cell r="AM152" t="str">
            <v/>
          </cell>
          <cell r="AN152" t="str">
            <v>192.168.001.001</v>
          </cell>
          <cell r="AO152" t="str">
            <v/>
          </cell>
          <cell r="AP152" t="str">
            <v/>
          </cell>
          <cell r="AQ152" t="str">
            <v>KNG21106</v>
          </cell>
          <cell r="AR152" t="str">
            <v>CCIT</v>
          </cell>
          <cell r="AS152" t="str">
            <v>PC/3270</v>
          </cell>
          <cell r="AT152" t="str">
            <v/>
          </cell>
          <cell r="AU152" t="str">
            <v>MKB26D・02D/DSP13211・13212</v>
          </cell>
          <cell r="AV152" t="str">
            <v>MKB02P/PRN0B156</v>
          </cell>
          <cell r="AW152" t="str">
            <v>202.25.217.27/202.25.217.28</v>
          </cell>
          <cell r="AX152" t="str">
            <v/>
          </cell>
          <cell r="AY152" t="str">
            <v/>
          </cell>
          <cell r="AZ152" t="str">
            <v/>
          </cell>
          <cell r="BA152">
            <v>41556</v>
          </cell>
          <cell r="BB152">
            <v>4560</v>
          </cell>
          <cell r="BD152" t="str">
            <v/>
          </cell>
          <cell r="BE152" t="str">
            <v>SafeBoot</v>
          </cell>
        </row>
        <row r="153">
          <cell r="F153">
            <v>30</v>
          </cell>
          <cell r="G153" t="str">
            <v>192.168.021.022</v>
          </cell>
          <cell r="H153" t="str">
            <v/>
          </cell>
          <cell r="I153" t="str">
            <v>RSI</v>
          </cell>
          <cell r="J153" t="str">
            <v/>
          </cell>
          <cell r="K153" t="str">
            <v/>
          </cell>
          <cell r="L153" t="str">
            <v>第３者保守</v>
          </cell>
          <cell r="M153">
            <v>40148</v>
          </cell>
          <cell r="N153">
            <v>41608</v>
          </cell>
          <cell r="Q153" t="str">
            <v/>
          </cell>
          <cell r="R153" t="str">
            <v>PC</v>
          </cell>
          <cell r="S153" t="str">
            <v/>
          </cell>
          <cell r="T153" t="str">
            <v>大阪</v>
          </cell>
          <cell r="U153" t="str">
            <v>大阪工場</v>
          </cell>
          <cell r="V153" t="str">
            <v>大阪化成</v>
          </cell>
          <cell r="W153" t="str">
            <v>技術部</v>
          </cell>
          <cell r="X153" t="str">
            <v>篠原　秀雄</v>
          </cell>
          <cell r="Y153" t="str">
            <v>KNG7021</v>
          </cell>
          <cell r="Z153" t="str">
            <v/>
          </cell>
          <cell r="AA153" t="str">
            <v>Safeboot</v>
          </cell>
          <cell r="AB153" t="str">
            <v>FMV-R8280</v>
          </cell>
          <cell r="AC153" t="str">
            <v>FMVNR9P1C</v>
          </cell>
          <cell r="AD153" t="str">
            <v>R9901888</v>
          </cell>
          <cell r="AE153" t="str">
            <v>リコーImagio MPC4000</v>
          </cell>
          <cell r="AF153" t="str">
            <v>192.168.021.204</v>
          </cell>
          <cell r="AG153" t="str">
            <v>リコーImagio MPC3300</v>
          </cell>
          <cell r="AH153" t="str">
            <v>192.168.021.203</v>
          </cell>
          <cell r="AI153" t="str">
            <v>リコーImagio MPC4000</v>
          </cell>
          <cell r="AJ153" t="str">
            <v>192.168.021.202</v>
          </cell>
          <cell r="AK153" t="str">
            <v>WindowsXP SP3</v>
          </cell>
          <cell r="AL153" t="str">
            <v>OKC</v>
          </cell>
          <cell r="AM153" t="str">
            <v/>
          </cell>
          <cell r="AN153" t="str">
            <v>192.168.001.001</v>
          </cell>
          <cell r="AO153" t="str">
            <v/>
          </cell>
          <cell r="AP153" t="str">
            <v/>
          </cell>
          <cell r="AQ153" t="str">
            <v>KNG21022</v>
          </cell>
          <cell r="AR153" t="str">
            <v>CCIT</v>
          </cell>
          <cell r="AS153" t="str">
            <v/>
          </cell>
          <cell r="AT153" t="str">
            <v/>
          </cell>
          <cell r="AU153" t="str">
            <v/>
          </cell>
          <cell r="AV153" t="str">
            <v/>
          </cell>
          <cell r="AW153" t="str">
            <v/>
          </cell>
          <cell r="AX153" t="str">
            <v/>
          </cell>
          <cell r="AY153" t="str">
            <v/>
          </cell>
          <cell r="AZ153" t="str">
            <v>IE例外設定：192.168.021.202、192.168.021.203、192.168.021.204、192.168.021.205</v>
          </cell>
          <cell r="BB153">
            <v>3370</v>
          </cell>
          <cell r="BD153" t="str">
            <v/>
          </cell>
          <cell r="BE153" t="str">
            <v>SafeBoot</v>
          </cell>
        </row>
        <row r="154">
          <cell r="F154">
            <v>2</v>
          </cell>
          <cell r="G154" t="str">
            <v>192.168.021.026</v>
          </cell>
          <cell r="H154" t="str">
            <v/>
          </cell>
          <cell r="I154" t="str">
            <v>RSI</v>
          </cell>
          <cell r="J154" t="str">
            <v/>
          </cell>
          <cell r="K154" t="str">
            <v/>
          </cell>
          <cell r="L154" t="str">
            <v>第３者保守</v>
          </cell>
          <cell r="M154">
            <v>40148</v>
          </cell>
          <cell r="N154">
            <v>41608</v>
          </cell>
          <cell r="Q154" t="str">
            <v/>
          </cell>
          <cell r="R154" t="str">
            <v>PC</v>
          </cell>
          <cell r="S154" t="str">
            <v/>
          </cell>
          <cell r="T154" t="str">
            <v>大阪</v>
          </cell>
          <cell r="U154" t="str">
            <v>大阪工場</v>
          </cell>
          <cell r="V154" t="str">
            <v>大阪化成</v>
          </cell>
          <cell r="W154" t="str">
            <v>事務所</v>
          </cell>
          <cell r="X154" t="str">
            <v>鈴木　公雄</v>
          </cell>
          <cell r="Y154" t="str">
            <v>KNG7022</v>
          </cell>
          <cell r="Z154" t="str">
            <v/>
          </cell>
          <cell r="AA154" t="str">
            <v>SafeBoot</v>
          </cell>
          <cell r="AB154" t="str">
            <v>FMV-R8280</v>
          </cell>
          <cell r="AC154" t="str">
            <v>FMVNR9P1C</v>
          </cell>
          <cell r="AD154" t="str">
            <v>R9901886</v>
          </cell>
          <cell r="AE154" t="str">
            <v>リコーImagio MPC4000</v>
          </cell>
          <cell r="AF154" t="str">
            <v>192.168.021.204</v>
          </cell>
          <cell r="AG154" t="str">
            <v>リコーImagio MPC3300</v>
          </cell>
          <cell r="AH154" t="str">
            <v>192.168.021.203</v>
          </cell>
          <cell r="AI154" t="str">
            <v>リコーImagio MPC4000</v>
          </cell>
          <cell r="AJ154" t="str">
            <v>192.168.021.202</v>
          </cell>
          <cell r="AK154" t="str">
            <v>WindowsXP SP3</v>
          </cell>
          <cell r="AL154" t="str">
            <v>OKC</v>
          </cell>
          <cell r="AM154" t="str">
            <v/>
          </cell>
          <cell r="AN154" t="str">
            <v>192.168.001.001</v>
          </cell>
          <cell r="AO154" t="str">
            <v/>
          </cell>
          <cell r="AP154" t="str">
            <v/>
          </cell>
          <cell r="AQ154" t="str">
            <v>KNG21026</v>
          </cell>
          <cell r="AR154" t="str">
            <v>CCIT</v>
          </cell>
          <cell r="AS154" t="str">
            <v/>
          </cell>
          <cell r="AT154" t="str">
            <v/>
          </cell>
          <cell r="AU154" t="str">
            <v/>
          </cell>
          <cell r="AV154" t="str">
            <v/>
          </cell>
          <cell r="AW154" t="str">
            <v/>
          </cell>
          <cell r="AX154" t="str">
            <v/>
          </cell>
          <cell r="AY154" t="str">
            <v/>
          </cell>
          <cell r="AZ154" t="str">
            <v>IE例外設定：192.168.021.202、192.168.021.203、192.168.021.204、192.168.021.205</v>
          </cell>
          <cell r="BB154">
            <v>3370</v>
          </cell>
          <cell r="BD154" t="str">
            <v/>
          </cell>
          <cell r="BE154" t="str">
            <v>SafeBoot</v>
          </cell>
        </row>
        <row r="155">
          <cell r="F155">
            <v>1</v>
          </cell>
          <cell r="G155" t="str">
            <v>192.168.021.084</v>
          </cell>
          <cell r="H155" t="str">
            <v/>
          </cell>
          <cell r="I155" t="str">
            <v>RSI</v>
          </cell>
          <cell r="J155" t="str">
            <v/>
          </cell>
          <cell r="K155" t="str">
            <v/>
          </cell>
          <cell r="L155" t="str">
            <v>ＨＰCarePack</v>
          </cell>
          <cell r="M155">
            <v>39845</v>
          </cell>
          <cell r="N155">
            <v>41305</v>
          </cell>
          <cell r="Q155" t="str">
            <v/>
          </cell>
          <cell r="R155" t="str">
            <v>PC</v>
          </cell>
          <cell r="S155" t="str">
            <v/>
          </cell>
          <cell r="T155" t="str">
            <v>大阪</v>
          </cell>
          <cell r="U155" t="str">
            <v>大阪工場</v>
          </cell>
          <cell r="V155" t="str">
            <v>大阪化成</v>
          </cell>
          <cell r="W155" t="str">
            <v>製造部</v>
          </cell>
          <cell r="X155" t="str">
            <v>今泉　武男</v>
          </cell>
          <cell r="Y155" t="str">
            <v>KNG7023</v>
          </cell>
          <cell r="Z155" t="str">
            <v/>
          </cell>
          <cell r="AA155" t="str">
            <v>Safeboot</v>
          </cell>
          <cell r="AB155" t="str">
            <v>HP Compaq 6710b</v>
          </cell>
          <cell r="AC155" t="str">
            <v>FR001PA#ABJ</v>
          </cell>
          <cell r="AD155" t="str">
            <v>CNU83541WN</v>
          </cell>
          <cell r="AE155" t="str">
            <v>リコーIpsio NX860e</v>
          </cell>
          <cell r="AF155" t="str">
            <v>192.168.021.202</v>
          </cell>
          <cell r="AG155" t="str">
            <v>EPSON PM-820C</v>
          </cell>
          <cell r="AH155" t="str">
            <v>192.168.021.210</v>
          </cell>
          <cell r="AI155" t="str">
            <v/>
          </cell>
          <cell r="AJ155" t="str">
            <v/>
          </cell>
          <cell r="AK155" t="str">
            <v>WindowsXP(SP2)</v>
          </cell>
          <cell r="AL155" t="str">
            <v>OKC</v>
          </cell>
          <cell r="AM155" t="str">
            <v/>
          </cell>
          <cell r="AN155" t="str">
            <v>192.168.001.001</v>
          </cell>
          <cell r="AO155" t="str">
            <v/>
          </cell>
          <cell r="AP155" t="str">
            <v/>
          </cell>
          <cell r="AQ155" t="str">
            <v>KNG21084</v>
          </cell>
          <cell r="AR155" t="str">
            <v>CCIT</v>
          </cell>
          <cell r="AS155" t="str">
            <v/>
          </cell>
          <cell r="AT155" t="str">
            <v/>
          </cell>
          <cell r="AU155" t="str">
            <v/>
          </cell>
          <cell r="AV155" t="str">
            <v/>
          </cell>
          <cell r="AW155" t="str">
            <v/>
          </cell>
          <cell r="AX155" t="str">
            <v/>
          </cell>
          <cell r="AY155" t="str">
            <v/>
          </cell>
          <cell r="AZ155" t="str">
            <v/>
          </cell>
          <cell r="BB155">
            <v>2970</v>
          </cell>
          <cell r="BD155" t="str">
            <v>JED8116614</v>
          </cell>
          <cell r="BE155" t="str">
            <v>SafeBoot</v>
          </cell>
        </row>
        <row r="156">
          <cell r="F156">
            <v>14</v>
          </cell>
          <cell r="G156" t="str">
            <v>192.168.021.060</v>
          </cell>
          <cell r="H156" t="str">
            <v/>
          </cell>
          <cell r="I156" t="str">
            <v>RSI</v>
          </cell>
          <cell r="J156" t="str">
            <v/>
          </cell>
          <cell r="K156" t="str">
            <v/>
          </cell>
          <cell r="L156" t="str">
            <v>第３者保守</v>
          </cell>
          <cell r="M156">
            <v>40026</v>
          </cell>
          <cell r="N156">
            <v>41486</v>
          </cell>
          <cell r="Q156" t="str">
            <v/>
          </cell>
          <cell r="R156" t="str">
            <v>PC</v>
          </cell>
          <cell r="S156" t="str">
            <v/>
          </cell>
          <cell r="T156" t="str">
            <v>大阪</v>
          </cell>
          <cell r="U156" t="str">
            <v>大阪工場</v>
          </cell>
          <cell r="V156" t="str">
            <v>大阪化成</v>
          </cell>
          <cell r="W156" t="str">
            <v>事務所</v>
          </cell>
          <cell r="X156" t="str">
            <v>垣内　成矢</v>
          </cell>
          <cell r="Y156" t="str">
            <v>KNG7025</v>
          </cell>
          <cell r="Z156" t="str">
            <v/>
          </cell>
          <cell r="AA156" t="str">
            <v>モバイル</v>
          </cell>
          <cell r="AB156" t="str">
            <v>FMV-R8270</v>
          </cell>
          <cell r="AC156" t="str">
            <v>FMVNR8M1C</v>
          </cell>
          <cell r="AD156" t="str">
            <v>R9401530</v>
          </cell>
          <cell r="AE156" t="str">
            <v>リコーIpsio NX860e</v>
          </cell>
          <cell r="AF156" t="str">
            <v>192.168.021.201</v>
          </cell>
          <cell r="AG156" t="str">
            <v/>
          </cell>
          <cell r="AH156" t="str">
            <v/>
          </cell>
          <cell r="AI156" t="str">
            <v/>
          </cell>
          <cell r="AJ156" t="str">
            <v/>
          </cell>
          <cell r="AK156" t="str">
            <v>WindowsXP(SP3)</v>
          </cell>
          <cell r="AL156" t="str">
            <v>OKC</v>
          </cell>
          <cell r="AM156" t="str">
            <v/>
          </cell>
          <cell r="AN156" t="str">
            <v>192.168.001.001</v>
          </cell>
          <cell r="AO156" t="str">
            <v/>
          </cell>
          <cell r="AP156" t="str">
            <v/>
          </cell>
          <cell r="AQ156" t="str">
            <v>KNG21060</v>
          </cell>
          <cell r="AR156" t="str">
            <v>CCIT</v>
          </cell>
          <cell r="AS156" t="str">
            <v>PC/3270 (2005/10化）</v>
          </cell>
          <cell r="AT156" t="str">
            <v/>
          </cell>
          <cell r="AU156" t="str">
            <v>MKF02D,12D/DSP11081,11082</v>
          </cell>
          <cell r="AV156" t="str">
            <v>MKF02P&amp;/PRN09179</v>
          </cell>
          <cell r="AW156" t="str">
            <v>202.25.217.27/202.25.217.28</v>
          </cell>
          <cell r="AX156" t="str">
            <v/>
          </cell>
          <cell r="AY156" t="str">
            <v/>
          </cell>
          <cell r="AZ156" t="str">
            <v/>
          </cell>
          <cell r="BB156">
            <v>2930</v>
          </cell>
          <cell r="BC156">
            <v>800</v>
          </cell>
          <cell r="BD156" t="str">
            <v/>
          </cell>
          <cell r="BE156" t="str">
            <v>SafeBoot</v>
          </cell>
        </row>
        <row r="157">
          <cell r="F157">
            <v>12</v>
          </cell>
          <cell r="G157" t="str">
            <v>192.168.021.082</v>
          </cell>
          <cell r="H157" t="str">
            <v/>
          </cell>
          <cell r="I157" t="str">
            <v>RSI</v>
          </cell>
          <cell r="J157" t="str">
            <v/>
          </cell>
          <cell r="K157" t="str">
            <v/>
          </cell>
          <cell r="L157" t="str">
            <v>ﾊﾟﾅｿﾆｯｸﾒｰｶｰ保守</v>
          </cell>
          <cell r="M157">
            <v>39873</v>
          </cell>
          <cell r="N157">
            <v>41333</v>
          </cell>
          <cell r="Q157" t="str">
            <v/>
          </cell>
          <cell r="R157" t="str">
            <v>PC</v>
          </cell>
          <cell r="S157" t="str">
            <v/>
          </cell>
          <cell r="T157" t="str">
            <v>大阪</v>
          </cell>
          <cell r="U157" t="str">
            <v>大阪工場</v>
          </cell>
          <cell r="V157" t="str">
            <v>大阪化成</v>
          </cell>
          <cell r="W157" t="str">
            <v>事務所</v>
          </cell>
          <cell r="X157" t="str">
            <v>廣海　竜寛</v>
          </cell>
          <cell r="Y157" t="str">
            <v>KNG7031</v>
          </cell>
          <cell r="Z157" t="str">
            <v/>
          </cell>
          <cell r="AA157" t="str">
            <v>モバイル</v>
          </cell>
          <cell r="AB157" t="str">
            <v>CF-R7</v>
          </cell>
          <cell r="AC157" t="str">
            <v>CF-R7DW6AAS</v>
          </cell>
          <cell r="AD157" t="str">
            <v>8JKSB43698</v>
          </cell>
          <cell r="AE157" t="str">
            <v>リコーIpsio NX860e</v>
          </cell>
          <cell r="AF157" t="str">
            <v>192.168.021.201</v>
          </cell>
          <cell r="AG157" t="str">
            <v/>
          </cell>
          <cell r="AH157" t="str">
            <v/>
          </cell>
          <cell r="AI157" t="str">
            <v/>
          </cell>
          <cell r="AJ157" t="str">
            <v/>
          </cell>
          <cell r="AK157" t="str">
            <v>WindowsXP(SP2)</v>
          </cell>
          <cell r="AL157" t="str">
            <v>OKC</v>
          </cell>
          <cell r="AM157" t="str">
            <v/>
          </cell>
          <cell r="AN157" t="str">
            <v>192.168.001.001</v>
          </cell>
          <cell r="AO157" t="str">
            <v/>
          </cell>
          <cell r="AP157" t="str">
            <v/>
          </cell>
          <cell r="AQ157" t="str">
            <v>KNG21082</v>
          </cell>
          <cell r="AR157" t="str">
            <v>CCIT</v>
          </cell>
          <cell r="AS157" t="str">
            <v>PC/3270 (2005/10化）</v>
          </cell>
          <cell r="AT157" t="str">
            <v/>
          </cell>
          <cell r="AU157" t="str">
            <v>MKB14D,34D/DSP18019</v>
          </cell>
          <cell r="AV157" t="str">
            <v>MKB14P&amp;/PRN0D052</v>
          </cell>
          <cell r="AW157" t="str">
            <v>202.25.217.27/202.25.217.28</v>
          </cell>
          <cell r="AX157" t="str">
            <v/>
          </cell>
          <cell r="AY157" t="str">
            <v/>
          </cell>
          <cell r="AZ157" t="str">
            <v/>
          </cell>
          <cell r="BB157">
            <v>4640</v>
          </cell>
          <cell r="BD157" t="str">
            <v/>
          </cell>
          <cell r="BE157" t="str">
            <v>SafeBoot</v>
          </cell>
        </row>
        <row r="158">
          <cell r="F158">
            <v>40</v>
          </cell>
          <cell r="G158" t="str">
            <v>192.168.021.035</v>
          </cell>
          <cell r="H158" t="str">
            <v/>
          </cell>
          <cell r="I158" t="str">
            <v>RSI</v>
          </cell>
          <cell r="J158" t="str">
            <v/>
          </cell>
          <cell r="K158" t="str">
            <v/>
          </cell>
          <cell r="L158" t="str">
            <v>第３者保守</v>
          </cell>
          <cell r="M158">
            <v>40148</v>
          </cell>
          <cell r="N158">
            <v>41608</v>
          </cell>
          <cell r="Q158" t="str">
            <v/>
          </cell>
          <cell r="R158" t="str">
            <v>PC</v>
          </cell>
          <cell r="S158" t="str">
            <v/>
          </cell>
          <cell r="T158" t="str">
            <v>大阪</v>
          </cell>
          <cell r="U158" t="str">
            <v>大阪工場</v>
          </cell>
          <cell r="V158" t="str">
            <v>大阪化成</v>
          </cell>
          <cell r="W158" t="str">
            <v>技術部</v>
          </cell>
          <cell r="X158" t="str">
            <v>小松　弘樹</v>
          </cell>
          <cell r="Y158" t="str">
            <v>KNG7038</v>
          </cell>
          <cell r="Z158" t="str">
            <v/>
          </cell>
          <cell r="AA158" t="str">
            <v>Safeboot</v>
          </cell>
          <cell r="AB158" t="str">
            <v>FMV-R8280</v>
          </cell>
          <cell r="AC158" t="str">
            <v>FMVNR9P1C</v>
          </cell>
          <cell r="AD158" t="str">
            <v>R9901884</v>
          </cell>
          <cell r="AE158" t="str">
            <v>リコーImagio MPC4000</v>
          </cell>
          <cell r="AF158" t="str">
            <v>192.168.021.204</v>
          </cell>
          <cell r="AG158" t="str">
            <v>リコーImagio MPC3300</v>
          </cell>
          <cell r="AH158" t="str">
            <v>192.168.021.203</v>
          </cell>
          <cell r="AI158" t="str">
            <v>リコーImagio MPC4000</v>
          </cell>
          <cell r="AJ158" t="str">
            <v>192.168.021.202</v>
          </cell>
          <cell r="AK158" t="str">
            <v>WindowsXP SP3</v>
          </cell>
          <cell r="AL158" t="str">
            <v>OKC</v>
          </cell>
          <cell r="AM158" t="str">
            <v/>
          </cell>
          <cell r="AN158" t="str">
            <v>192.168.001.001</v>
          </cell>
          <cell r="AO158" t="str">
            <v/>
          </cell>
          <cell r="AP158" t="str">
            <v/>
          </cell>
          <cell r="AQ158" t="str">
            <v>KNG21035</v>
          </cell>
          <cell r="AR158" t="str">
            <v>CCIT</v>
          </cell>
          <cell r="AS158" t="str">
            <v>PC/3270</v>
          </cell>
          <cell r="AT158" t="str">
            <v/>
          </cell>
          <cell r="AU158" t="str">
            <v>MKE07D,35D/DSP18054,18055</v>
          </cell>
          <cell r="AV158" t="str">
            <v>MKE07P&amp;/PRN0D070</v>
          </cell>
          <cell r="AW158" t="str">
            <v>202.25.217.27/202.25.217.28</v>
          </cell>
          <cell r="AX158" t="str">
            <v/>
          </cell>
          <cell r="AY158" t="str">
            <v/>
          </cell>
          <cell r="AZ158" t="str">
            <v>IE例外設定：192.168.021.202、192.168.021.203、192.168.021.204、192.168.021.205</v>
          </cell>
          <cell r="BA158">
            <v>37173</v>
          </cell>
          <cell r="BB158">
            <v>3370</v>
          </cell>
          <cell r="BD158" t="str">
            <v/>
          </cell>
          <cell r="BE158" t="str">
            <v>SafeBoot</v>
          </cell>
        </row>
        <row r="159">
          <cell r="F159">
            <v>10</v>
          </cell>
          <cell r="G159" t="str">
            <v>192.168.021.085</v>
          </cell>
          <cell r="H159" t="str">
            <v/>
          </cell>
          <cell r="I159" t="str">
            <v>OKC</v>
          </cell>
          <cell r="J159" t="str">
            <v/>
          </cell>
          <cell r="K159" t="str">
            <v>TG07P0077</v>
          </cell>
          <cell r="L159" t="str">
            <v>第３者保守</v>
          </cell>
          <cell r="M159">
            <v>39295</v>
          </cell>
          <cell r="N159">
            <v>40755</v>
          </cell>
          <cell r="Q159" t="str">
            <v/>
          </cell>
          <cell r="R159" t="str">
            <v>PC</v>
          </cell>
          <cell r="S159" t="str">
            <v/>
          </cell>
          <cell r="T159" t="str">
            <v>大阪</v>
          </cell>
          <cell r="U159" t="str">
            <v>大阪工場</v>
          </cell>
          <cell r="V159" t="str">
            <v>大阪化成</v>
          </cell>
          <cell r="W159" t="str">
            <v>事務所</v>
          </cell>
          <cell r="X159" t="str">
            <v>竹尾　秀之</v>
          </cell>
          <cell r="Y159" t="str">
            <v>KNG7043</v>
          </cell>
          <cell r="Z159" t="str">
            <v/>
          </cell>
          <cell r="AA159" t="str">
            <v>モバイル</v>
          </cell>
          <cell r="AB159" t="str">
            <v>ThinkPad R60e</v>
          </cell>
          <cell r="AC159" t="str">
            <v>0658-BJ6</v>
          </cell>
          <cell r="AD159" t="str">
            <v>L3-GC357</v>
          </cell>
          <cell r="AE159" t="str">
            <v>リコーIpsio NX860e</v>
          </cell>
          <cell r="AF159" t="str">
            <v>192.168.021.201</v>
          </cell>
          <cell r="AG159" t="str">
            <v>Canon iR C3220N</v>
          </cell>
          <cell r="AH159" t="str">
            <v/>
          </cell>
          <cell r="AI159" t="str">
            <v/>
          </cell>
          <cell r="AJ159" t="str">
            <v/>
          </cell>
          <cell r="AK159" t="str">
            <v>WindowsXP(SP2)</v>
          </cell>
          <cell r="AL159" t="str">
            <v>OKC</v>
          </cell>
          <cell r="AM159" t="str">
            <v/>
          </cell>
          <cell r="AN159" t="str">
            <v>192.168.001.001</v>
          </cell>
          <cell r="AO159" t="str">
            <v>ｾﾝﾁｭﾘｰ・ﾘｰｼﾝｸﾞ・ｼｽﾃﾑ</v>
          </cell>
          <cell r="AP159" t="str">
            <v>L07078931</v>
          </cell>
          <cell r="AQ159" t="str">
            <v>KNG21085</v>
          </cell>
          <cell r="AR159" t="str">
            <v>CCIT</v>
          </cell>
          <cell r="AS159" t="str">
            <v/>
          </cell>
          <cell r="AT159" t="str">
            <v/>
          </cell>
          <cell r="AU159" t="str">
            <v/>
          </cell>
          <cell r="AV159" t="str">
            <v/>
          </cell>
          <cell r="AW159" t="str">
            <v/>
          </cell>
          <cell r="AX159" t="str">
            <v/>
          </cell>
          <cell r="AY159" t="str">
            <v/>
          </cell>
          <cell r="AZ159" t="str">
            <v/>
          </cell>
          <cell r="BC159">
            <v>800</v>
          </cell>
          <cell r="BD159" t="str">
            <v/>
          </cell>
          <cell r="BE159" t="str">
            <v>SafeBoot</v>
          </cell>
        </row>
        <row r="160">
          <cell r="F160">
            <v>17</v>
          </cell>
          <cell r="G160" t="str">
            <v>192.168.021.042</v>
          </cell>
          <cell r="H160" t="str">
            <v/>
          </cell>
          <cell r="I160" t="str">
            <v>RSI</v>
          </cell>
          <cell r="J160" t="str">
            <v/>
          </cell>
          <cell r="K160" t="str">
            <v/>
          </cell>
          <cell r="L160" t="str">
            <v>ﾊﾟﾅｿﾆｯｸﾒｰｶｰ保守</v>
          </cell>
          <cell r="M160">
            <v>39661</v>
          </cell>
          <cell r="N160">
            <v>41121</v>
          </cell>
          <cell r="Q160" t="str">
            <v/>
          </cell>
          <cell r="R160" t="str">
            <v>PC</v>
          </cell>
          <cell r="S160" t="str">
            <v/>
          </cell>
          <cell r="T160" t="str">
            <v>大阪</v>
          </cell>
          <cell r="U160" t="str">
            <v>大阪工場</v>
          </cell>
          <cell r="V160" t="str">
            <v>大阪化成</v>
          </cell>
          <cell r="W160" t="str">
            <v>事務所</v>
          </cell>
          <cell r="X160" t="str">
            <v>水野　隆</v>
          </cell>
          <cell r="Y160" t="str">
            <v>KNG7085</v>
          </cell>
          <cell r="Z160" t="str">
            <v/>
          </cell>
          <cell r="AA160" t="str">
            <v>モバイル</v>
          </cell>
          <cell r="AB160" t="str">
            <v>CF-R7</v>
          </cell>
          <cell r="AC160" t="str">
            <v>CF-R7CW5AXS</v>
          </cell>
          <cell r="AD160" t="str">
            <v>8DKSA25996</v>
          </cell>
          <cell r="AE160" t="str">
            <v>リコーIpsio NX860e</v>
          </cell>
          <cell r="AF160" t="str">
            <v>192.168.021.201</v>
          </cell>
          <cell r="AG160" t="str">
            <v/>
          </cell>
          <cell r="AH160" t="str">
            <v/>
          </cell>
          <cell r="AI160" t="str">
            <v/>
          </cell>
          <cell r="AJ160" t="str">
            <v/>
          </cell>
          <cell r="AK160" t="str">
            <v>WindowsXP(SP2)</v>
          </cell>
          <cell r="AL160" t="str">
            <v>OKC</v>
          </cell>
          <cell r="AM160" t="str">
            <v/>
          </cell>
          <cell r="AN160" t="str">
            <v>192.168.001.001</v>
          </cell>
          <cell r="AO160" t="str">
            <v/>
          </cell>
          <cell r="AP160" t="str">
            <v/>
          </cell>
          <cell r="AQ160" t="str">
            <v>KNG21042</v>
          </cell>
          <cell r="AR160" t="str">
            <v>CCIT</v>
          </cell>
          <cell r="AS160" t="str">
            <v/>
          </cell>
          <cell r="AT160" t="str">
            <v/>
          </cell>
          <cell r="AU160" t="str">
            <v/>
          </cell>
          <cell r="AV160" t="str">
            <v/>
          </cell>
          <cell r="AW160" t="str">
            <v/>
          </cell>
          <cell r="AX160" t="str">
            <v/>
          </cell>
          <cell r="AY160" t="str">
            <v/>
          </cell>
          <cell r="AZ160" t="str">
            <v>液晶ﾃﾞｨｽﾌﾟﾚｲ・・・ナナオ17型液晶、型番：S1701-STBK、ｷｰﾎﾞｰﾄﾞ・・・ﾀﾞｲﾔﾃｯｸ、型番：FKB-108Z-JB</v>
          </cell>
          <cell r="BB160">
            <v>4680</v>
          </cell>
          <cell r="BD160" t="str">
            <v/>
          </cell>
          <cell r="BE160" t="str">
            <v>SafeBoot</v>
          </cell>
        </row>
        <row r="161">
          <cell r="F161">
            <v>101</v>
          </cell>
          <cell r="G161" t="str">
            <v>192.168.021.033</v>
          </cell>
          <cell r="H161" t="str">
            <v/>
          </cell>
          <cell r="I161" t="str">
            <v>RSI</v>
          </cell>
          <cell r="J161" t="str">
            <v/>
          </cell>
          <cell r="K161" t="str">
            <v/>
          </cell>
          <cell r="L161" t="str">
            <v>ﾊﾟﾅｿﾆｯｸﾒｰｶｰ保守</v>
          </cell>
          <cell r="M161">
            <v>40087</v>
          </cell>
          <cell r="N161">
            <v>41547</v>
          </cell>
          <cell r="Q161" t="str">
            <v/>
          </cell>
          <cell r="R161" t="str">
            <v>PC</v>
          </cell>
          <cell r="S161" t="str">
            <v/>
          </cell>
          <cell r="T161" t="str">
            <v>大阪</v>
          </cell>
          <cell r="U161" t="str">
            <v>大阪工場</v>
          </cell>
          <cell r="V161" t="str">
            <v>大阪化成</v>
          </cell>
          <cell r="W161" t="str">
            <v>技術部</v>
          </cell>
          <cell r="X161" t="str">
            <v>飛永　勝</v>
          </cell>
          <cell r="Y161" t="str">
            <v>KNG7105</v>
          </cell>
          <cell r="Z161" t="str">
            <v/>
          </cell>
          <cell r="AA161" t="str">
            <v>モバイル</v>
          </cell>
          <cell r="AB161" t="str">
            <v>CF-R8</v>
          </cell>
          <cell r="AC161" t="str">
            <v>CF-R8FW1AAS</v>
          </cell>
          <cell r="AD161" t="str">
            <v>9EKSA19343</v>
          </cell>
          <cell r="AE161" t="str">
            <v>リコーIpsio NX860e</v>
          </cell>
          <cell r="AF161" t="str">
            <v>192.168.021.204</v>
          </cell>
          <cell r="AG161" t="str">
            <v>リコーIpsio GX3000</v>
          </cell>
          <cell r="AH161" t="str">
            <v>192.168.021.207</v>
          </cell>
          <cell r="AI161" t="str">
            <v/>
          </cell>
          <cell r="AJ161" t="str">
            <v/>
          </cell>
          <cell r="AK161" t="str">
            <v>WindowsXP(SP2)</v>
          </cell>
          <cell r="AL161" t="str">
            <v>OKC</v>
          </cell>
          <cell r="AM161" t="str">
            <v/>
          </cell>
          <cell r="AN161" t="str">
            <v>192.168.001.001</v>
          </cell>
          <cell r="AO161" t="str">
            <v/>
          </cell>
          <cell r="AP161" t="str">
            <v/>
          </cell>
          <cell r="AQ161" t="str">
            <v>KNG21033</v>
          </cell>
          <cell r="AR161" t="str">
            <v>CCIT</v>
          </cell>
          <cell r="AS161" t="str">
            <v/>
          </cell>
          <cell r="AT161" t="str">
            <v/>
          </cell>
          <cell r="AU161" t="str">
            <v/>
          </cell>
          <cell r="AV161" t="str">
            <v/>
          </cell>
          <cell r="AW161" t="str">
            <v/>
          </cell>
          <cell r="AX161" t="str">
            <v/>
          </cell>
          <cell r="AY161" t="str">
            <v/>
          </cell>
          <cell r="AZ161" t="str">
            <v>ﾅﾅｵ17型S1701-STBK（OKC所有）、ﾏﾙﾁﾃﾞｨｽﾌﾟﾚｲｱﾀﾞﾌﾟﾀIO-DATA USB-RGB-D（OKCにて購入）2010年1月設置</v>
          </cell>
          <cell r="BB161">
            <v>4560</v>
          </cell>
          <cell r="BD161" t="str">
            <v/>
          </cell>
          <cell r="BE161" t="str">
            <v>SafeBoot</v>
          </cell>
        </row>
        <row r="162">
          <cell r="F162">
            <v>107</v>
          </cell>
          <cell r="G162" t="str">
            <v>146.143.020.074</v>
          </cell>
          <cell r="H162" t="str">
            <v/>
          </cell>
          <cell r="I162" t="str">
            <v>RSI</v>
          </cell>
          <cell r="J162" t="str">
            <v/>
          </cell>
          <cell r="K162" t="str">
            <v/>
          </cell>
          <cell r="L162" t="str">
            <v>ﾊﾟﾅｿﾆｯｸﾒｰｶｰ保守</v>
          </cell>
          <cell r="M162">
            <v>39814</v>
          </cell>
          <cell r="N162">
            <v>41274</v>
          </cell>
          <cell r="Q162" t="str">
            <v/>
          </cell>
          <cell r="R162" t="str">
            <v>PC</v>
          </cell>
          <cell r="S162" t="str">
            <v/>
          </cell>
          <cell r="T162" t="str">
            <v>加古川</v>
          </cell>
          <cell r="U162" t="str">
            <v>加古川工場</v>
          </cell>
          <cell r="V162" t="str">
            <v>カーボンテック</v>
          </cell>
          <cell r="W162" t="str">
            <v>東事務所</v>
          </cell>
          <cell r="X162" t="str">
            <v>福田　博之</v>
          </cell>
          <cell r="Y162" t="str">
            <v>KNG9125</v>
          </cell>
          <cell r="Z162" t="str">
            <v/>
          </cell>
          <cell r="AA162" t="str">
            <v>モバイル</v>
          </cell>
          <cell r="AB162" t="str">
            <v>CF-R7</v>
          </cell>
          <cell r="AC162" t="str">
            <v>CF-R7CW5AXS</v>
          </cell>
          <cell r="AD162" t="str">
            <v>8DKSA27294</v>
          </cell>
          <cell r="AE162" t="str">
            <v>SHARP MX-4100FN</v>
          </cell>
          <cell r="AF162" t="str">
            <v>146.143.020.224</v>
          </cell>
          <cell r="AG162" t="str">
            <v>リコーImagio MPC3500</v>
          </cell>
          <cell r="AH162" t="str">
            <v>146.143.020.226</v>
          </cell>
          <cell r="AI162" t="str">
            <v/>
          </cell>
          <cell r="AJ162" t="str">
            <v/>
          </cell>
          <cell r="AK162" t="str">
            <v>WindowsXP(SP2)</v>
          </cell>
          <cell r="AL162" t="str">
            <v>CT</v>
          </cell>
          <cell r="AM162" t="str">
            <v/>
          </cell>
          <cell r="AN162" t="str">
            <v>146.143.001.001</v>
          </cell>
          <cell r="AO162" t="str">
            <v/>
          </cell>
          <cell r="AP162" t="str">
            <v/>
          </cell>
          <cell r="AQ162" t="str">
            <v>KNP3D074</v>
          </cell>
          <cell r="AR162" t="str">
            <v>CCIT</v>
          </cell>
          <cell r="AS162" t="str">
            <v/>
          </cell>
          <cell r="AT162" t="str">
            <v/>
          </cell>
          <cell r="AU162" t="str">
            <v/>
          </cell>
          <cell r="AV162" t="str">
            <v/>
          </cell>
          <cell r="AW162" t="str">
            <v/>
          </cell>
          <cell r="AX162" t="str">
            <v/>
          </cell>
          <cell r="AY162" t="str">
            <v/>
          </cell>
          <cell r="AZ162" t="str">
            <v>従量制</v>
          </cell>
          <cell r="BB162">
            <v>4690</v>
          </cell>
          <cell r="BD162" t="str">
            <v/>
          </cell>
          <cell r="BE162" t="str">
            <v>SafeBoot</v>
          </cell>
        </row>
        <row r="163">
          <cell r="F163">
            <v>93</v>
          </cell>
          <cell r="G163" t="str">
            <v>201.255.041.195</v>
          </cell>
          <cell r="H163" t="str">
            <v/>
          </cell>
          <cell r="I163" t="str">
            <v>KNL</v>
          </cell>
          <cell r="J163" t="str">
            <v/>
          </cell>
          <cell r="K163" t="str">
            <v>TG08P0003</v>
          </cell>
          <cell r="L163" t="str">
            <v>ﾊﾟﾅｿﾆｯｸﾒｰｶｰ保守</v>
          </cell>
          <cell r="M163">
            <v>39448</v>
          </cell>
          <cell r="N163">
            <v>40908</v>
          </cell>
          <cell r="Q163" t="str">
            <v/>
          </cell>
          <cell r="R163" t="str">
            <v>PC</v>
          </cell>
          <cell r="S163" t="str">
            <v/>
          </cell>
          <cell r="T163" t="str">
            <v>尼崎</v>
          </cell>
          <cell r="U163" t="str">
            <v>北門</v>
          </cell>
          <cell r="V163" t="str">
            <v>ＫＮラボアナリシス</v>
          </cell>
          <cell r="W163" t="str">
            <v>精密洗浄</v>
          </cell>
          <cell r="X163" t="str">
            <v>山口　秀一</v>
          </cell>
          <cell r="Y163" t="str">
            <v>KNG9256</v>
          </cell>
          <cell r="Z163" t="str">
            <v/>
          </cell>
          <cell r="AA163" t="str">
            <v>モバイル</v>
          </cell>
          <cell r="AB163" t="str">
            <v>CF-R6</v>
          </cell>
          <cell r="AC163" t="str">
            <v>CF-R6MW4AXS</v>
          </cell>
          <cell r="AD163" t="str">
            <v>7EKSA21487</v>
          </cell>
          <cell r="AE163" t="str">
            <v>リコーImagio MPC5000</v>
          </cell>
          <cell r="AF163" t="str">
            <v>201.255.041.040</v>
          </cell>
          <cell r="AG163" t="str">
            <v>リコーImagio MPC2800</v>
          </cell>
          <cell r="AH163" t="str">
            <v>201.255.041.162</v>
          </cell>
          <cell r="AI163" t="str">
            <v/>
          </cell>
          <cell r="AJ163" t="str">
            <v/>
          </cell>
          <cell r="AK163" t="str">
            <v>WindowsXP(SP2)</v>
          </cell>
          <cell r="AL163" t="str">
            <v>KNL-精密</v>
          </cell>
          <cell r="AM163" t="str">
            <v/>
          </cell>
          <cell r="AN163" t="str">
            <v>201.255.041.001</v>
          </cell>
          <cell r="AO163" t="str">
            <v>ｾﾝﾁｭﾘｰ・ﾘｰｼﾝｸﾞ・ｼｽﾃﾑ</v>
          </cell>
          <cell r="AP163" t="str">
            <v>L08017056</v>
          </cell>
          <cell r="AQ163" t="str">
            <v>KNG41195</v>
          </cell>
          <cell r="AR163" t="str">
            <v>CCIT</v>
          </cell>
          <cell r="AS163" t="str">
            <v/>
          </cell>
          <cell r="AT163" t="str">
            <v/>
          </cell>
          <cell r="AU163" t="str">
            <v/>
          </cell>
          <cell r="AV163" t="str">
            <v/>
          </cell>
          <cell r="AW163" t="str">
            <v/>
          </cell>
          <cell r="AX163" t="str">
            <v/>
          </cell>
          <cell r="AY163" t="str">
            <v/>
          </cell>
          <cell r="AZ163" t="str">
            <v/>
          </cell>
          <cell r="BD163" t="str">
            <v/>
          </cell>
          <cell r="BE163" t="str">
            <v>SafeBoot</v>
          </cell>
        </row>
        <row r="164">
          <cell r="F164">
            <v>98</v>
          </cell>
          <cell r="G164" t="str">
            <v>201.255.011.096</v>
          </cell>
          <cell r="H164" t="str">
            <v/>
          </cell>
          <cell r="I164" t="str">
            <v>RSI</v>
          </cell>
          <cell r="J164" t="str">
            <v/>
          </cell>
          <cell r="K164" t="str">
            <v/>
          </cell>
          <cell r="L164" t="str">
            <v>ＨＰCarePack</v>
          </cell>
          <cell r="M164">
            <v>39783</v>
          </cell>
          <cell r="N164">
            <v>41243</v>
          </cell>
          <cell r="Q164" t="str">
            <v/>
          </cell>
          <cell r="R164" t="str">
            <v>PC</v>
          </cell>
          <cell r="S164" t="str">
            <v>無線</v>
          </cell>
          <cell r="T164" t="str">
            <v>尼崎</v>
          </cell>
          <cell r="U164" t="str">
            <v>本社</v>
          </cell>
          <cell r="V164" t="str">
            <v>関西熱化学</v>
          </cell>
          <cell r="W164" t="str">
            <v>経理財務部</v>
          </cell>
          <cell r="X164" t="str">
            <v>大木　啓子</v>
          </cell>
          <cell r="Y164" t="str">
            <v>KNG9325</v>
          </cell>
          <cell r="Z164" t="str">
            <v/>
          </cell>
          <cell r="AA164" t="str">
            <v>Safeboot</v>
          </cell>
          <cell r="AB164" t="str">
            <v>HP Compaq 6710b</v>
          </cell>
          <cell r="AC164" t="str">
            <v>FR001PA#ABJ</v>
          </cell>
          <cell r="AD164" t="str">
            <v>CNU83543MX</v>
          </cell>
          <cell r="AE164" t="str">
            <v>リコーImagio MPC3500</v>
          </cell>
          <cell r="AF164" t="str">
            <v>201.255.011.030</v>
          </cell>
          <cell r="AG164" t="str">
            <v>リコーImagio MPC3000</v>
          </cell>
          <cell r="AH164" t="str">
            <v>201.255.011.027</v>
          </cell>
          <cell r="AI164" t="str">
            <v>リコーIpsio SP 6220</v>
          </cell>
          <cell r="AJ164" t="str">
            <v>201.255.011.029</v>
          </cell>
          <cell r="AK164" t="str">
            <v>WindowsXP(SP2)</v>
          </cell>
          <cell r="AL164" t="str">
            <v>KN-01</v>
          </cell>
          <cell r="AM164" t="str">
            <v/>
          </cell>
          <cell r="AN164" t="str">
            <v>201.255.011.001</v>
          </cell>
          <cell r="AO164" t="str">
            <v/>
          </cell>
          <cell r="AP164" t="str">
            <v/>
          </cell>
          <cell r="AQ164" t="str">
            <v>KNG11096</v>
          </cell>
          <cell r="AR164" t="str">
            <v>CCIT</v>
          </cell>
          <cell r="AS164" t="str">
            <v/>
          </cell>
          <cell r="AT164" t="str">
            <v/>
          </cell>
          <cell r="AU164" t="str">
            <v/>
          </cell>
          <cell r="AV164" t="str">
            <v/>
          </cell>
          <cell r="AW164" t="str">
            <v/>
          </cell>
          <cell r="AX164" t="str">
            <v/>
          </cell>
          <cell r="AY164" t="str">
            <v/>
          </cell>
          <cell r="AZ164" t="str">
            <v/>
          </cell>
          <cell r="BB164">
            <v>2970</v>
          </cell>
          <cell r="BD164" t="str">
            <v>JED8114826</v>
          </cell>
          <cell r="BE164" t="str">
            <v>SafeBoot</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_OS基本方針"/>
      <sheetName val="工事用資材コード変換作業手順と分担（案）"/>
      <sheetName val="資材マスターデータ抽出と作業分担"/>
      <sheetName val="大･中分類"/>
      <sheetName val="熱交加熱炉ﾁｭｰﾌﾞ"/>
      <sheetName val="静機器･配管"/>
      <sheetName val="装置コード（LOCAL)"/>
      <sheetName val="配管･ﾎﾞﾙﾄｻｲｽﾞ"/>
      <sheetName val="回転機器"/>
      <sheetName val="計装品"/>
      <sheetName val="電気機器"/>
      <sheetName val="工務雑品"/>
      <sheetName val="ガスケット関係まと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
      <sheetName val="監督原価内訳表"/>
      <sheetName val="現場経費"/>
      <sheetName val="Sheet1"/>
      <sheetName val="Sheet2"/>
      <sheetName val="Shee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sheetName val="入力"/>
      <sheetName val="出力詳細"/>
      <sheetName val="出力"/>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処理エラー"/>
      <sheetName val="■マクロ実行■"/>
      <sheetName val="運用サービス料金表"/>
      <sheetName val="各サービス説明"/>
      <sheetName val="各サービス説明(NGC)"/>
      <sheetName val="IM振替処理用"/>
      <sheetName val="Q3IM振替処理用"/>
      <sheetName val="IM DLデータ"/>
      <sheetName val="＜料金表作成用＞"/>
      <sheetName val="請求金額一覧（元データ）"/>
      <sheetName val="■作業マニュアル■"/>
    </sheetNames>
    <sheetDataSet>
      <sheetData sheetId="0"/>
      <sheetData sheetId="1"/>
      <sheetData sheetId="2"/>
      <sheetData sheetId="3"/>
      <sheetData sheetId="4"/>
      <sheetData sheetId="5"/>
      <sheetData sheetId="6"/>
      <sheetData sheetId="7"/>
      <sheetData sheetId="8">
        <row r="9">
          <cell r="B9">
            <v>0</v>
          </cell>
          <cell r="C9" t="str">
            <v>ＩＳ共通オプション</v>
          </cell>
          <cell r="D9">
            <v>0</v>
          </cell>
          <cell r="F9" t="str">
            <v>K</v>
          </cell>
          <cell r="G9">
            <v>0</v>
          </cell>
          <cell r="H9">
            <v>9</v>
          </cell>
          <cell r="I9">
            <v>0</v>
          </cell>
          <cell r="J9" t="str">
            <v>ＩＳ共通オプション</v>
          </cell>
          <cell r="K9">
            <v>0</v>
          </cell>
          <cell r="L9" t="str">
            <v>AA 本 社</v>
          </cell>
          <cell r="M9" t="str">
            <v>CAG03002</v>
          </cell>
          <cell r="N9">
            <v>6381702001</v>
          </cell>
          <cell r="O9">
            <v>8</v>
          </cell>
        </row>
        <row r="10">
          <cell r="B10">
            <v>0</v>
          </cell>
          <cell r="C10" t="str">
            <v>ファイル共有サービス</v>
          </cell>
          <cell r="D10">
            <v>0</v>
          </cell>
          <cell r="F10" t="str">
            <v>M</v>
          </cell>
          <cell r="G10">
            <v>0</v>
          </cell>
          <cell r="H10">
            <v>10</v>
          </cell>
          <cell r="I10">
            <v>0</v>
          </cell>
          <cell r="J10" t="str">
            <v>ファイル共有サービス</v>
          </cell>
          <cell r="K10">
            <v>0</v>
          </cell>
          <cell r="L10" t="str">
            <v>AA 本 社</v>
          </cell>
          <cell r="M10" t="str">
            <v>CAG03002</v>
          </cell>
          <cell r="N10">
            <v>6381702001</v>
          </cell>
          <cell r="O10">
            <v>10</v>
          </cell>
        </row>
        <row r="11">
          <cell r="B11">
            <v>0</v>
          </cell>
          <cell r="C11" t="str">
            <v>ファイル共有ＮＧＣサービス</v>
          </cell>
          <cell r="D11">
            <v>0</v>
          </cell>
          <cell r="F11" t="str">
            <v>O</v>
          </cell>
          <cell r="G11">
            <v>0</v>
          </cell>
          <cell r="H11">
            <v>13</v>
          </cell>
          <cell r="I11">
            <v>0</v>
          </cell>
          <cell r="J11" t="str">
            <v>ファイル共有ＮＧＣサービス</v>
          </cell>
          <cell r="K11">
            <v>0</v>
          </cell>
          <cell r="L11" t="str">
            <v>AA 本 社</v>
          </cell>
          <cell r="M11" t="str">
            <v>CAG03002</v>
          </cell>
          <cell r="N11">
            <v>6381702001</v>
          </cell>
          <cell r="O11">
            <v>12</v>
          </cell>
        </row>
        <row r="12">
          <cell r="B12">
            <v>1</v>
          </cell>
          <cell r="C12" t="str">
            <v>ノーツディスクサービス</v>
          </cell>
          <cell r="D12">
            <v>86640</v>
          </cell>
          <cell r="F12" t="str">
            <v>Q</v>
          </cell>
          <cell r="G12">
            <v>285912</v>
          </cell>
          <cell r="H12">
            <v>11</v>
          </cell>
          <cell r="I12">
            <v>1</v>
          </cell>
          <cell r="J12" t="str">
            <v>ノーツディスクサービス</v>
          </cell>
          <cell r="K12">
            <v>285912</v>
          </cell>
          <cell r="L12" t="str">
            <v>AA 本 社</v>
          </cell>
          <cell r="M12" t="str">
            <v>CAG03002</v>
          </cell>
          <cell r="N12">
            <v>6381702001</v>
          </cell>
          <cell r="O12">
            <v>14</v>
          </cell>
        </row>
        <row r="13">
          <cell r="B13">
            <v>0</v>
          </cell>
          <cell r="C13" t="str">
            <v>ＮｏｔｅｓＤＢ運用</v>
          </cell>
          <cell r="D13">
            <v>0</v>
          </cell>
          <cell r="F13" t="str">
            <v>S</v>
          </cell>
          <cell r="G13">
            <v>0</v>
          </cell>
          <cell r="H13">
            <v>9</v>
          </cell>
          <cell r="I13">
            <v>0</v>
          </cell>
          <cell r="J13" t="str">
            <v>ＮｏｔｅｓＤＢ運用</v>
          </cell>
          <cell r="K13">
            <v>0</v>
          </cell>
          <cell r="L13" t="str">
            <v>AA 本 社</v>
          </cell>
          <cell r="M13" t="str">
            <v>CAG03002</v>
          </cell>
          <cell r="N13">
            <v>6381702001</v>
          </cell>
          <cell r="O13">
            <v>16</v>
          </cell>
        </row>
        <row r="14">
          <cell r="B14">
            <v>0</v>
          </cell>
          <cell r="C14" t="str">
            <v>ＳＡＰライセンス利用料</v>
          </cell>
          <cell r="D14">
            <v>0</v>
          </cell>
          <cell r="F14" t="str">
            <v>T</v>
          </cell>
          <cell r="G14">
            <v>0</v>
          </cell>
          <cell r="H14">
            <v>11</v>
          </cell>
          <cell r="I14">
            <v>0</v>
          </cell>
          <cell r="J14" t="str">
            <v>ＳＡＰライセンス利用料</v>
          </cell>
          <cell r="K14">
            <v>0</v>
          </cell>
          <cell r="L14" t="str">
            <v>AA 本 社</v>
          </cell>
          <cell r="M14" t="str">
            <v>CAG03002</v>
          </cell>
          <cell r="N14">
            <v>6381702001</v>
          </cell>
          <cell r="O14">
            <v>18</v>
          </cell>
        </row>
        <row r="15">
          <cell r="B15">
            <v>0</v>
          </cell>
          <cell r="C15" t="str">
            <v>ＳＡＰハード利用料</v>
          </cell>
          <cell r="D15">
            <v>0</v>
          </cell>
          <cell r="F15" t="str">
            <v>U</v>
          </cell>
          <cell r="G15">
            <v>0</v>
          </cell>
          <cell r="H15">
            <v>8</v>
          </cell>
          <cell r="I15">
            <v>0</v>
          </cell>
          <cell r="J15" t="str">
            <v>業務アプリ利用料</v>
          </cell>
          <cell r="K15">
            <v>0</v>
          </cell>
          <cell r="L15" t="str">
            <v>AA 本 社</v>
          </cell>
          <cell r="M15" t="str">
            <v>CAG03002</v>
          </cell>
          <cell r="N15">
            <v>6381702001</v>
          </cell>
          <cell r="O15">
            <v>19</v>
          </cell>
        </row>
        <row r="16">
          <cell r="B16">
            <v>0</v>
          </cell>
          <cell r="C16" t="str">
            <v>自動ＦＡＸサーバー利用料</v>
          </cell>
          <cell r="D16">
            <v>0</v>
          </cell>
          <cell r="F16" t="str">
            <v>V</v>
          </cell>
          <cell r="G16">
            <v>0</v>
          </cell>
          <cell r="H16">
            <v>8</v>
          </cell>
          <cell r="I16">
            <v>0</v>
          </cell>
          <cell r="J16" t="str">
            <v>業務アプリ利用料</v>
          </cell>
          <cell r="L16" t="str">
            <v>－</v>
          </cell>
          <cell r="M16" t="str">
            <v>－</v>
          </cell>
          <cell r="O16">
            <v>20</v>
          </cell>
        </row>
        <row r="17">
          <cell r="B17">
            <v>0</v>
          </cell>
          <cell r="C17" t="str">
            <v>ＭＷＣＵＢＥ運営費</v>
          </cell>
          <cell r="D17">
            <v>0</v>
          </cell>
          <cell r="F17" t="str">
            <v>W</v>
          </cell>
          <cell r="G17">
            <v>0</v>
          </cell>
          <cell r="H17">
            <v>8</v>
          </cell>
          <cell r="I17">
            <v>0</v>
          </cell>
          <cell r="J17" t="str">
            <v>業務アプリ利用料</v>
          </cell>
          <cell r="L17" t="str">
            <v>－</v>
          </cell>
          <cell r="M17" t="str">
            <v>－</v>
          </cell>
          <cell r="O17">
            <v>21</v>
          </cell>
        </row>
        <row r="18">
          <cell r="B18">
            <v>0</v>
          </cell>
          <cell r="C18" t="str">
            <v>新基幹販物、原料購買運営費</v>
          </cell>
          <cell r="D18">
            <v>0</v>
          </cell>
          <cell r="F18" t="str">
            <v>X</v>
          </cell>
          <cell r="G18">
            <v>0</v>
          </cell>
          <cell r="H18">
            <v>8</v>
          </cell>
          <cell r="I18">
            <v>0</v>
          </cell>
          <cell r="J18" t="str">
            <v>業務アプリ利用料</v>
          </cell>
          <cell r="L18" t="str">
            <v>－</v>
          </cell>
          <cell r="M18" t="str">
            <v>－</v>
          </cell>
          <cell r="O18">
            <v>22</v>
          </cell>
        </row>
        <row r="19">
          <cell r="B19">
            <v>0</v>
          </cell>
          <cell r="C19" t="str">
            <v>ＢＷ販物、原料購買運営費</v>
          </cell>
          <cell r="D19">
            <v>0</v>
          </cell>
          <cell r="F19" t="str">
            <v>Y</v>
          </cell>
          <cell r="G19">
            <v>0</v>
          </cell>
          <cell r="H19">
            <v>8</v>
          </cell>
          <cell r="I19">
            <v>0</v>
          </cell>
          <cell r="J19" t="str">
            <v>業務アプリ利用料</v>
          </cell>
          <cell r="L19" t="str">
            <v>－</v>
          </cell>
          <cell r="M19" t="str">
            <v>－</v>
          </cell>
          <cell r="O19">
            <v>23</v>
          </cell>
        </row>
        <row r="20">
          <cell r="B20">
            <v>0</v>
          </cell>
          <cell r="C20" t="str">
            <v>ＲＥＰＳ運営費</v>
          </cell>
          <cell r="D20">
            <v>0</v>
          </cell>
          <cell r="F20" t="str">
            <v>Z</v>
          </cell>
          <cell r="G20">
            <v>0</v>
          </cell>
          <cell r="H20">
            <v>8</v>
          </cell>
          <cell r="I20">
            <v>0</v>
          </cell>
          <cell r="J20" t="str">
            <v>業務アプリ利用料</v>
          </cell>
          <cell r="L20" t="str">
            <v>－</v>
          </cell>
          <cell r="M20" t="str">
            <v>－</v>
          </cell>
          <cell r="O20">
            <v>24</v>
          </cell>
        </row>
        <row r="21">
          <cell r="B21">
            <v>0</v>
          </cell>
          <cell r="C21" t="str">
            <v>ＩＭＰＡＣＴ運営費</v>
          </cell>
          <cell r="D21">
            <v>0</v>
          </cell>
          <cell r="F21" t="str">
            <v>AA</v>
          </cell>
          <cell r="G21">
            <v>0</v>
          </cell>
          <cell r="H21">
            <v>8</v>
          </cell>
          <cell r="I21">
            <v>0</v>
          </cell>
          <cell r="J21" t="str">
            <v>業務アプリ利用料</v>
          </cell>
          <cell r="L21" t="str">
            <v>－</v>
          </cell>
          <cell r="M21" t="str">
            <v>－</v>
          </cell>
          <cell r="O21">
            <v>25</v>
          </cell>
        </row>
        <row r="22">
          <cell r="B22">
            <v>0</v>
          </cell>
          <cell r="C22" t="str">
            <v>周辺システムハード利用料</v>
          </cell>
          <cell r="D22">
            <v>0</v>
          </cell>
          <cell r="F22" t="str">
            <v>AB</v>
          </cell>
          <cell r="G22">
            <v>0</v>
          </cell>
          <cell r="H22">
            <v>8</v>
          </cell>
          <cell r="I22">
            <v>0</v>
          </cell>
          <cell r="J22" t="str">
            <v>業務アプリ利用料</v>
          </cell>
          <cell r="L22" t="str">
            <v>－</v>
          </cell>
          <cell r="M22" t="str">
            <v>－</v>
          </cell>
          <cell r="O22">
            <v>26</v>
          </cell>
        </row>
        <row r="23">
          <cell r="B23">
            <v>0</v>
          </cell>
          <cell r="C23" t="str">
            <v>周辺システム運営費</v>
          </cell>
          <cell r="D23">
            <v>0</v>
          </cell>
          <cell r="F23" t="str">
            <v>AC</v>
          </cell>
          <cell r="G23">
            <v>0</v>
          </cell>
          <cell r="H23">
            <v>8</v>
          </cell>
          <cell r="I23">
            <v>0</v>
          </cell>
          <cell r="J23" t="str">
            <v>業務アプリ利用料</v>
          </cell>
          <cell r="L23" t="str">
            <v>－</v>
          </cell>
          <cell r="M23" t="str">
            <v>－</v>
          </cell>
          <cell r="O23">
            <v>27</v>
          </cell>
        </row>
        <row r="24">
          <cell r="B24">
            <v>0</v>
          </cell>
          <cell r="C24" t="str">
            <v>サポート工数</v>
          </cell>
          <cell r="D24">
            <v>0</v>
          </cell>
          <cell r="F24" t="str">
            <v>AF</v>
          </cell>
          <cell r="G24">
            <v>0</v>
          </cell>
          <cell r="H24">
            <v>8</v>
          </cell>
          <cell r="I24">
            <v>0</v>
          </cell>
          <cell r="J24" t="str">
            <v>業務アプリ利用料</v>
          </cell>
          <cell r="L24" t="str">
            <v>－</v>
          </cell>
          <cell r="M24" t="str">
            <v>－</v>
          </cell>
          <cell r="O24">
            <v>28</v>
          </cell>
        </row>
        <row r="25">
          <cell r="B25">
            <v>0</v>
          </cell>
          <cell r="C25" t="str">
            <v>基幹システム償却費</v>
          </cell>
          <cell r="D25">
            <v>0</v>
          </cell>
          <cell r="F25" t="str">
            <v>AG</v>
          </cell>
          <cell r="G25">
            <v>0</v>
          </cell>
          <cell r="H25">
            <v>8</v>
          </cell>
          <cell r="I25">
            <v>0</v>
          </cell>
          <cell r="J25" t="str">
            <v>業務アプリ利用料</v>
          </cell>
          <cell r="L25" t="str">
            <v>－</v>
          </cell>
          <cell r="M25" t="str">
            <v>－</v>
          </cell>
          <cell r="O25">
            <v>29</v>
          </cell>
        </row>
        <row r="26">
          <cell r="B26">
            <v>0</v>
          </cell>
          <cell r="C26" t="str">
            <v>ＭＣＦｒａｍｅ（旧ＭＰＩ）</v>
          </cell>
          <cell r="D26">
            <v>0</v>
          </cell>
          <cell r="F26" t="str">
            <v>AH</v>
          </cell>
          <cell r="G26">
            <v>0</v>
          </cell>
          <cell r="H26">
            <v>13</v>
          </cell>
          <cell r="I26">
            <v>0</v>
          </cell>
          <cell r="J26" t="str">
            <v>ＭＣＦｒａｍｅ（旧ＭＰＩ）</v>
          </cell>
          <cell r="K26">
            <v>0</v>
          </cell>
          <cell r="L26" t="str">
            <v>AA 本 社</v>
          </cell>
          <cell r="M26" t="str">
            <v>CAG03002</v>
          </cell>
          <cell r="N26">
            <v>6381702001</v>
          </cell>
          <cell r="O26">
            <v>32</v>
          </cell>
        </row>
        <row r="27">
          <cell r="B27">
            <v>0</v>
          </cell>
          <cell r="C27" t="str">
            <v>ＦＰシステム</v>
          </cell>
          <cell r="D27">
            <v>0</v>
          </cell>
          <cell r="F27" t="str">
            <v>AI</v>
          </cell>
          <cell r="G27">
            <v>0</v>
          </cell>
          <cell r="H27">
            <v>6</v>
          </cell>
          <cell r="I27">
            <v>0</v>
          </cell>
          <cell r="J27" t="str">
            <v>ＦＰシステム</v>
          </cell>
          <cell r="K27">
            <v>0</v>
          </cell>
          <cell r="L27" t="str">
            <v>AA 本 社</v>
          </cell>
          <cell r="M27" t="str">
            <v>CAG03002</v>
          </cell>
          <cell r="N27">
            <v>6381702001</v>
          </cell>
          <cell r="O27">
            <v>33</v>
          </cell>
        </row>
        <row r="28">
          <cell r="B28">
            <v>0</v>
          </cell>
          <cell r="C28" t="str">
            <v>販物システム（ＳＢＯ）</v>
          </cell>
          <cell r="D28">
            <v>0</v>
          </cell>
          <cell r="F28" t="str">
            <v>AJ</v>
          </cell>
          <cell r="G28">
            <v>0</v>
          </cell>
          <cell r="H28">
            <v>11</v>
          </cell>
          <cell r="I28">
            <v>0</v>
          </cell>
          <cell r="J28" t="str">
            <v>販物システム（ＳＢＯ）</v>
          </cell>
          <cell r="K28">
            <v>0</v>
          </cell>
          <cell r="L28" t="str">
            <v>AA 本 社</v>
          </cell>
          <cell r="M28" t="str">
            <v>CAG03002</v>
          </cell>
          <cell r="N28">
            <v>6381702001</v>
          </cell>
          <cell r="O28">
            <v>34</v>
          </cell>
        </row>
        <row r="29">
          <cell r="B29">
            <v>0</v>
          </cell>
          <cell r="C29" t="str">
            <v>ＣＲＭシステム</v>
          </cell>
          <cell r="D29">
            <v>0</v>
          </cell>
          <cell r="F29" t="str">
            <v>AK</v>
          </cell>
          <cell r="G29">
            <v>0</v>
          </cell>
          <cell r="H29">
            <v>7</v>
          </cell>
          <cell r="I29">
            <v>0</v>
          </cell>
          <cell r="J29" t="str">
            <v>ＣＲＭシステム</v>
          </cell>
          <cell r="K29">
            <v>0</v>
          </cell>
          <cell r="L29" t="str">
            <v>AA 本 社</v>
          </cell>
          <cell r="M29" t="str">
            <v>CAG03002</v>
          </cell>
          <cell r="N29">
            <v>6381702001</v>
          </cell>
          <cell r="O29">
            <v>35</v>
          </cell>
        </row>
        <row r="30">
          <cell r="B30">
            <v>0</v>
          </cell>
          <cell r="C30" t="str">
            <v>ＫＢＳシステム</v>
          </cell>
          <cell r="D30">
            <v>0</v>
          </cell>
          <cell r="F30" t="str">
            <v>AM</v>
          </cell>
          <cell r="G30">
            <v>0</v>
          </cell>
          <cell r="H30">
            <v>7</v>
          </cell>
          <cell r="I30">
            <v>0</v>
          </cell>
          <cell r="J30" t="str">
            <v>ＫＢＳシステム</v>
          </cell>
          <cell r="K30">
            <v>0</v>
          </cell>
          <cell r="L30" t="str">
            <v>AA 本 社</v>
          </cell>
          <cell r="M30" t="str">
            <v>CAG03002</v>
          </cell>
          <cell r="N30">
            <v>6381702001</v>
          </cell>
          <cell r="O30">
            <v>36</v>
          </cell>
        </row>
        <row r="31">
          <cell r="B31">
            <v>0</v>
          </cell>
          <cell r="C31" t="str">
            <v>データ連携システム</v>
          </cell>
          <cell r="D31">
            <v>0</v>
          </cell>
          <cell r="F31" t="str">
            <v>AO</v>
          </cell>
          <cell r="G31">
            <v>0</v>
          </cell>
          <cell r="H31">
            <v>9</v>
          </cell>
          <cell r="I31">
            <v>0</v>
          </cell>
          <cell r="J31" t="str">
            <v>データ連携システム</v>
          </cell>
          <cell r="K31">
            <v>0</v>
          </cell>
          <cell r="L31" t="str">
            <v>AA 本 社</v>
          </cell>
          <cell r="M31" t="str">
            <v>CAG03002</v>
          </cell>
          <cell r="N31">
            <v>6381702001</v>
          </cell>
          <cell r="O31">
            <v>37</v>
          </cell>
        </row>
        <row r="32">
          <cell r="B32">
            <v>0</v>
          </cell>
          <cell r="C32" t="str">
            <v>ＦＰシステム</v>
          </cell>
          <cell r="D32">
            <v>0</v>
          </cell>
          <cell r="F32" t="str">
            <v>AP</v>
          </cell>
          <cell r="G32">
            <v>0</v>
          </cell>
          <cell r="H32">
            <v>6</v>
          </cell>
          <cell r="I32">
            <v>0</v>
          </cell>
          <cell r="J32" t="str">
            <v>ＦＰシステム</v>
          </cell>
          <cell r="K32">
            <v>0</v>
          </cell>
          <cell r="L32" t="str">
            <v>AA 本 社</v>
          </cell>
          <cell r="M32" t="str">
            <v>CAG03002</v>
          </cell>
          <cell r="N32">
            <v>6381702001</v>
          </cell>
          <cell r="O32">
            <v>39</v>
          </cell>
        </row>
        <row r="33">
          <cell r="B33">
            <v>0</v>
          </cell>
          <cell r="C33" t="str">
            <v>ＡＰＴＩＳＳサイト利用サービス</v>
          </cell>
          <cell r="D33">
            <v>0</v>
          </cell>
          <cell r="F33" t="str">
            <v>AQ</v>
          </cell>
          <cell r="G33">
            <v>0</v>
          </cell>
          <cell r="H33">
            <v>11</v>
          </cell>
          <cell r="I33">
            <v>0</v>
          </cell>
          <cell r="J33" t="str">
            <v>ＡＰＴＩＳＳサイト利用</v>
          </cell>
          <cell r="K33">
            <v>0</v>
          </cell>
          <cell r="L33" t="str">
            <v>DD 横浜（研究所）</v>
          </cell>
          <cell r="M33" t="str">
            <v>CDR1318</v>
          </cell>
          <cell r="N33">
            <v>6381702001</v>
          </cell>
          <cell r="O33">
            <v>41</v>
          </cell>
        </row>
        <row r="34">
          <cell r="B34">
            <v>0</v>
          </cell>
          <cell r="C34" t="str">
            <v>バイオ技術研向け菌株データシステム　保守サービス</v>
          </cell>
          <cell r="D34">
            <v>0</v>
          </cell>
          <cell r="F34" t="str">
            <v>AR</v>
          </cell>
          <cell r="G34">
            <v>0</v>
          </cell>
          <cell r="H34">
            <v>11</v>
          </cell>
          <cell r="I34">
            <v>0</v>
          </cell>
          <cell r="J34" t="str">
            <v>菌株データシステム保守</v>
          </cell>
          <cell r="K34">
            <v>0</v>
          </cell>
          <cell r="L34" t="str">
            <v>DD 横浜（研究所）</v>
          </cell>
          <cell r="M34" t="str">
            <v>CDR1318</v>
          </cell>
          <cell r="N34">
            <v>6381702001</v>
          </cell>
          <cell r="O34">
            <v>42</v>
          </cell>
        </row>
        <row r="35">
          <cell r="B35">
            <v>0</v>
          </cell>
          <cell r="C35" t="str">
            <v>ＭＦＣ研開ＣＲＣ活動ＤＢ運営サービス</v>
          </cell>
          <cell r="D35">
            <v>0</v>
          </cell>
          <cell r="F35" t="str">
            <v>AS</v>
          </cell>
          <cell r="G35">
            <v>0</v>
          </cell>
          <cell r="H35">
            <v>14</v>
          </cell>
          <cell r="I35">
            <v>0</v>
          </cell>
          <cell r="J35" t="str">
            <v>ＭＦＣ研開ＣＲＣ活動ＤＢ運営</v>
          </cell>
          <cell r="K35">
            <v>0</v>
          </cell>
          <cell r="L35" t="str">
            <v>DD 横浜（研究所）</v>
          </cell>
          <cell r="M35" t="str">
            <v>CDR1318</v>
          </cell>
          <cell r="N35">
            <v>6381702001</v>
          </cell>
          <cell r="O35">
            <v>43</v>
          </cell>
        </row>
        <row r="36">
          <cell r="B36">
            <v>0</v>
          </cell>
          <cell r="C36" t="str">
            <v>横浜向けノーツ運営サービス</v>
          </cell>
          <cell r="D36">
            <v>0</v>
          </cell>
          <cell r="F36" t="str">
            <v>AT</v>
          </cell>
          <cell r="G36">
            <v>0</v>
          </cell>
          <cell r="H36">
            <v>13</v>
          </cell>
          <cell r="I36">
            <v>0</v>
          </cell>
          <cell r="J36" t="str">
            <v>横浜向けノーツ運営サービス</v>
          </cell>
          <cell r="K36">
            <v>0</v>
          </cell>
          <cell r="L36" t="str">
            <v>DD 横浜（研究所）</v>
          </cell>
          <cell r="M36" t="str">
            <v>CDR1318</v>
          </cell>
          <cell r="N36">
            <v>6381702001</v>
          </cell>
          <cell r="O36">
            <v>44</v>
          </cell>
        </row>
        <row r="37">
          <cell r="B37">
            <v>0</v>
          </cell>
          <cell r="C37" t="str">
            <v>ノーツデータベース運用サービス</v>
          </cell>
          <cell r="D37">
            <v>0</v>
          </cell>
          <cell r="F37" t="str">
            <v>AU</v>
          </cell>
          <cell r="G37">
            <v>0</v>
          </cell>
          <cell r="H37">
            <v>11</v>
          </cell>
          <cell r="I37">
            <v>0</v>
          </cell>
          <cell r="J37" t="str">
            <v>ノーツデータベース運用</v>
          </cell>
          <cell r="K37">
            <v>0</v>
          </cell>
          <cell r="L37" t="str">
            <v>DD 横浜（研究所）</v>
          </cell>
          <cell r="M37" t="str">
            <v>CDR1318</v>
          </cell>
          <cell r="N37">
            <v>6381702001</v>
          </cell>
          <cell r="O37">
            <v>45</v>
          </cell>
        </row>
        <row r="38">
          <cell r="B38">
            <v>0</v>
          </cell>
          <cell r="C38" t="str">
            <v>生産管理システム「ＭＯＳ」運営サービス</v>
          </cell>
          <cell r="D38">
            <v>0</v>
          </cell>
          <cell r="F38" t="str">
            <v>AV</v>
          </cell>
          <cell r="G38">
            <v>0</v>
          </cell>
          <cell r="H38">
            <v>13</v>
          </cell>
          <cell r="I38">
            <v>0</v>
          </cell>
          <cell r="J38" t="str">
            <v>生産管理システムＭＯＳ運営</v>
          </cell>
          <cell r="K38">
            <v>0</v>
          </cell>
          <cell r="L38" t="str">
            <v>77 鹿島（事業所／工場）</v>
          </cell>
          <cell r="M38" t="str">
            <v>C74939</v>
          </cell>
          <cell r="N38">
            <v>5381702001</v>
          </cell>
          <cell r="O38">
            <v>46</v>
          </cell>
        </row>
      </sheetData>
      <sheetData sheetId="9">
        <row r="9">
          <cell r="B9" t="str">
            <v>株式会社ユポ・コーポレーション</v>
          </cell>
        </row>
        <row r="10">
          <cell r="B10" t="str">
            <v>鹿島北共同発電株式会社</v>
          </cell>
        </row>
        <row r="11">
          <cell r="B11" t="str">
            <v>ジャパンコーティングレジン株式会社</v>
          </cell>
        </row>
        <row r="12">
          <cell r="B12" t="str">
            <v>日東精工アナリテック株式会社</v>
          </cell>
        </row>
        <row r="13">
          <cell r="B13" t="str">
            <v>三菱ケミカルフーズ株式会社</v>
          </cell>
        </row>
        <row r="14">
          <cell r="B14" t="str">
            <v>株式会社三菱ケミカルリサーチ</v>
          </cell>
        </row>
        <row r="15">
          <cell r="B15" t="str">
            <v>三菱ケミカルエンジニアリング株式会社</v>
          </cell>
        </row>
        <row r="16">
          <cell r="B16" t="str">
            <v>鹿島動力株式会社</v>
          </cell>
        </row>
        <row r="17">
          <cell r="B17" t="str">
            <v>三菱ケミカル物流株式会社（ＯＡ）</v>
          </cell>
        </row>
        <row r="18">
          <cell r="B18" t="str">
            <v>三菱ケミカル物流株式会社（業務アプリ）</v>
          </cell>
        </row>
        <row r="19">
          <cell r="B19" t="str">
            <v>ダイヤリックス株式会社</v>
          </cell>
        </row>
        <row r="20">
          <cell r="B20" t="str">
            <v>関西熱化学株式会社</v>
          </cell>
        </row>
        <row r="21">
          <cell r="B21" t="str">
            <v>大阪化成株式会社</v>
          </cell>
        </row>
        <row r="22">
          <cell r="B22" t="str">
            <v>尼崎ユーティリティサービス株式会社</v>
          </cell>
        </row>
        <row r="23">
          <cell r="B23" t="str">
            <v>株式会社ＭＣエバテック</v>
          </cell>
        </row>
        <row r="24">
          <cell r="B24" t="str">
            <v>株式会社新菱</v>
          </cell>
        </row>
        <row r="25">
          <cell r="B25" t="str">
            <v>株式会社新菱（ＳＢＯ）</v>
          </cell>
        </row>
        <row r="26">
          <cell r="B26" t="str">
            <v>株式会社ロンビック</v>
          </cell>
        </row>
        <row r="27">
          <cell r="B27" t="str">
            <v>日本化成株式会社</v>
          </cell>
        </row>
        <row r="28">
          <cell r="B28" t="str">
            <v>エムイーシーテクノ株式会社</v>
          </cell>
        </row>
        <row r="29">
          <cell r="B29" t="str">
            <v>日化運輸株式会社</v>
          </cell>
        </row>
        <row r="30">
          <cell r="B30" t="str">
            <v>日化トレーディング株式会社</v>
          </cell>
        </row>
        <row r="31">
          <cell r="B31" t="str">
            <v>小名浜蒸溜株式会社→新菱へ</v>
          </cell>
        </row>
        <row r="32">
          <cell r="B32" t="str">
            <v>エムシーヒューマネッツ株式会社</v>
          </cell>
        </row>
        <row r="33">
          <cell r="B33" t="str">
            <v>四日市事業所安全衛生協議会</v>
          </cell>
        </row>
        <row r="34">
          <cell r="B34" t="str">
            <v>日本合成化学工業株式会社</v>
          </cell>
        </row>
        <row r="35">
          <cell r="B35" t="str">
            <v>関西化学工業株式会社</v>
          </cell>
        </row>
        <row r="36">
          <cell r="B36" t="str">
            <v>大成化薬株式会社</v>
          </cell>
        </row>
        <row r="37">
          <cell r="B37" t="str">
            <v>ニチゴー九州株式会社</v>
          </cell>
        </row>
        <row r="38">
          <cell r="B38" t="str">
            <v>大垣ニチゴーサービス株式会社</v>
          </cell>
        </row>
        <row r="39">
          <cell r="B39" t="str">
            <v>熊本ニチゴーサービス株式会社</v>
          </cell>
        </row>
        <row r="40">
          <cell r="B40" t="str">
            <v>株式会社大阪環境技術センター→関西熱化学へ</v>
          </cell>
        </row>
        <row r="41">
          <cell r="B41" t="str">
            <v>日本ユニペット株式会社</v>
          </cell>
        </row>
        <row r="42">
          <cell r="B42" t="str">
            <v>日本ポリケム株式会社</v>
          </cell>
        </row>
        <row r="43">
          <cell r="B43" t="str">
            <v>日本ポリケム株式会社（電話）</v>
          </cell>
        </row>
        <row r="44">
          <cell r="B44" t="str">
            <v>日本ポリプロ株式会社</v>
          </cell>
        </row>
        <row r="45">
          <cell r="B45" t="str">
            <v>日本ポリエチレン株式会社</v>
          </cell>
        </row>
        <row r="46">
          <cell r="B46" t="str">
            <v>エムコマース株式会社</v>
          </cell>
        </row>
        <row r="47">
          <cell r="B47" t="str">
            <v>化成フロンティアサービス 株式会社</v>
          </cell>
        </row>
        <row r="48">
          <cell r="B48" t="str">
            <v>越前ポリマー株式会社</v>
          </cell>
        </row>
        <row r="49">
          <cell r="B49" t="str">
            <v>三菱ケミカルメディア株式会社</v>
          </cell>
        </row>
        <row r="50">
          <cell r="B50" t="str">
            <v>三菱エンジニアリングプラスチックス株式会社</v>
          </cell>
        </row>
        <row r="51">
          <cell r="B51" t="str">
            <v>株式会社ジェイ・プラス</v>
          </cell>
        </row>
        <row r="52">
          <cell r="B52" t="str">
            <v>三菱ケミカルハイテクニカ株式会社</v>
          </cell>
        </row>
        <row r="53">
          <cell r="B53" t="str">
            <v>アルケマ吉富株式会社</v>
          </cell>
        </row>
        <row r="54">
          <cell r="B54" t="str">
            <v>三菱ケミカルＭＣ労働組合</v>
          </cell>
        </row>
        <row r="55">
          <cell r="B55" t="str">
            <v>三菱ケミカル旭化成エチレン株式会社</v>
          </cell>
        </row>
        <row r="56">
          <cell r="B56" t="str">
            <v>エムシーパートナーズ株式会社</v>
          </cell>
        </row>
        <row r="57">
          <cell r="B57" t="str">
            <v>黒崎安全衛生協議会</v>
          </cell>
        </row>
        <row r="58">
          <cell r="B58" t="str">
            <v>水島事業所工事安全衛生協力会</v>
          </cell>
        </row>
        <row r="59">
          <cell r="B59" t="str">
            <v>MUアイオニックソリューションズ株式会社</v>
          </cell>
        </row>
        <row r="60">
          <cell r="B60" t="str">
            <v>MCCアドバンスドモールディングス株式会社</v>
          </cell>
        </row>
        <row r="61">
          <cell r="B61" t="str">
            <v>ダイヤプラスフィルム株式会社</v>
          </cell>
        </row>
        <row r="62">
          <cell r="B62" t="str">
            <v>三菱ケミカルアグリドリーム株式会社</v>
          </cell>
        </row>
        <row r="63">
          <cell r="B63" t="str">
            <v>三菱ケミカルインフラテック株式会社</v>
          </cell>
        </row>
        <row r="64">
          <cell r="B64" t="str">
            <v>オーティーエス株式会社</v>
          </cell>
        </row>
        <row r="65">
          <cell r="B65" t="str">
            <v>三菱ケミカルアドバンスドマテリアルズ株式会社</v>
          </cell>
        </row>
        <row r="66">
          <cell r="B66" t="str">
            <v>菱和ロジテム株式会社</v>
          </cell>
        </row>
        <row r="67">
          <cell r="B67" t="str">
            <v>菱琵テクノ株式会社</v>
          </cell>
        </row>
        <row r="68">
          <cell r="B68" t="str">
            <v>株式会社アストロ</v>
          </cell>
        </row>
        <row r="69">
          <cell r="B69" t="str">
            <v>旧：金成ジェイフィルム株式会社</v>
          </cell>
        </row>
        <row r="70">
          <cell r="B70" t="str">
            <v>旧：長浜ジェイフィルム株式会社</v>
          </cell>
        </row>
        <row r="71">
          <cell r="B71" t="str">
            <v>旧：ジェイフィルム株式会社</v>
          </cell>
        </row>
        <row r="72">
          <cell r="B72" t="str">
            <v>株式会社菱栄</v>
          </cell>
        </row>
        <row r="73">
          <cell r="B73" t="str">
            <v>菱樹商事株式会社</v>
          </cell>
        </row>
        <row r="74">
          <cell r="B74" t="str">
            <v>株式会社越菱</v>
          </cell>
        </row>
        <row r="75">
          <cell r="B75" t="str">
            <v>児玉化学工業株式会社</v>
          </cell>
        </row>
        <row r="76">
          <cell r="B76" t="str">
            <v>ジェイフィルム株式会社</v>
          </cell>
        </row>
        <row r="77">
          <cell r="B77" t="str">
            <v>株式会社菱湖テクニカ</v>
          </cell>
        </row>
        <row r="78">
          <cell r="B78" t="str">
            <v>ジェイカムアグリ株式会社</v>
          </cell>
        </row>
        <row r="79">
          <cell r="B79" t="str">
            <v>三菱樹脂労働組合</v>
          </cell>
        </row>
        <row r="80">
          <cell r="B80" t="str">
            <v>みかど化工株式会社</v>
          </cell>
        </row>
        <row r="81">
          <cell r="B81" t="str">
            <v>株式会社北菱モールド</v>
          </cell>
        </row>
        <row r="82">
          <cell r="B82" t="str">
            <v>旧：油化電子株式会社</v>
          </cell>
        </row>
        <row r="83">
          <cell r="B83" t="str">
            <v>株式会社アルポリック</v>
          </cell>
        </row>
        <row r="84">
          <cell r="B84" t="str">
            <v>株式会社菱晃</v>
          </cell>
        </row>
        <row r="85">
          <cell r="B85" t="str">
            <v>三菱ケミカル・クリンスイ株式会社</v>
          </cell>
        </row>
        <row r="86">
          <cell r="B86" t="str">
            <v>旧：ＭＣＣ幸田株式会社</v>
          </cell>
        </row>
        <row r="87">
          <cell r="B87" t="str">
            <v>東栄化成株式会社</v>
          </cell>
        </row>
        <row r="88">
          <cell r="B88" t="str">
            <v>株式会社ダイヤテック</v>
          </cell>
        </row>
        <row r="89">
          <cell r="B89" t="str">
            <v>ＭＣＣコンポジットプロダクツ株式会社</v>
          </cell>
        </row>
        <row r="90">
          <cell r="B90" t="str">
            <v>旧：デュポン・ＭＣＣ株式会社</v>
          </cell>
        </row>
        <row r="91">
          <cell r="B91" t="str">
            <v>デュポン・ＭＣＣ株式会社</v>
          </cell>
        </row>
        <row r="92">
          <cell r="B92" t="str">
            <v>三菱ケミカルＭＲ労組　本部</v>
          </cell>
        </row>
        <row r="93">
          <cell r="B93" t="str">
            <v>三菱ケミカルＭＲ労組　東京支部</v>
          </cell>
        </row>
        <row r="94">
          <cell r="B94" t="str">
            <v>富山フィルタートウ株式会社</v>
          </cell>
        </row>
        <row r="95">
          <cell r="B95" t="str">
            <v>旧：株式会社ウェルシィ</v>
          </cell>
        </row>
        <row r="96">
          <cell r="B96" t="str">
            <v>旧：三菱ケミカルアクア・ソリューションズ株式会社</v>
          </cell>
        </row>
        <row r="97">
          <cell r="B97" t="str">
            <v>三菱ケミカルアクア・ソリューションズ株式会社</v>
          </cell>
        </row>
        <row r="98">
          <cell r="B98" t="str">
            <v>ルーサイト・ジャパン株式会社</v>
          </cell>
        </row>
        <row r="99">
          <cell r="B99" t="str">
            <v>ＭＣＣ－ＳＧＬプレカーサー株式会社</v>
          </cell>
        </row>
        <row r="100">
          <cell r="B100" t="str">
            <v>テクノＵＭＧ株式会社</v>
          </cell>
        </row>
        <row r="101">
          <cell r="B101" t="str">
            <v>ＭＲＭ大竹株式会社</v>
          </cell>
        </row>
        <row r="102">
          <cell r="B102" t="str">
            <v>旧：ＭＲＭ豊橋株式会社</v>
          </cell>
        </row>
        <row r="103">
          <cell r="B103" t="str">
            <v>旧：ＭＲＭ富山株式会社</v>
          </cell>
        </row>
        <row r="104">
          <cell r="B104" t="str">
            <v>三菱ケミカルフーズ株式会社　富山工場</v>
          </cell>
        </row>
        <row r="105">
          <cell r="B105" t="str">
            <v>アクリサンデー株式会社</v>
          </cell>
        </row>
        <row r="106">
          <cell r="B106" t="str">
            <v>菱光サイジング株式会社</v>
          </cell>
        </row>
        <row r="107">
          <cell r="B107" t="str">
            <v>株式会社エムアンドユー</v>
          </cell>
        </row>
        <row r="108">
          <cell r="B108" t="str">
            <v>日東石膏ボード株式会社</v>
          </cell>
        </row>
        <row r="109">
          <cell r="B109" t="str">
            <v>三菱ケミカル健保</v>
          </cell>
        </row>
        <row r="110">
          <cell r="B110" t="str">
            <v>レイヨン福祉会</v>
          </cell>
        </row>
        <row r="111">
          <cell r="B111" t="str">
            <v>トーセン株式会社</v>
          </cell>
        </row>
        <row r="112">
          <cell r="B112" t="str">
            <v>株式会社チャレンヂ</v>
          </cell>
        </row>
        <row r="113">
          <cell r="B113" t="str">
            <v>三菱ケミカル労働組合　本部</v>
          </cell>
        </row>
        <row r="114">
          <cell r="B114" t="str">
            <v>Mitsubishi Chemical America Inc.</v>
          </cell>
        </row>
        <row r="115">
          <cell r="B115" t="str">
            <v>Dianal America Inc.</v>
          </cell>
        </row>
        <row r="116">
          <cell r="B116" t="str">
            <v>Lucite UK</v>
          </cell>
        </row>
        <row r="117">
          <cell r="B117" t="str">
            <v>MRC HONG KONG</v>
          </cell>
        </row>
        <row r="118">
          <cell r="B118" t="str">
            <v>上海菱希世化学貿易有限公司</v>
          </cell>
        </row>
        <row r="119">
          <cell r="B119" t="str">
            <v>三菱化学（中国）管理有限公司</v>
          </cell>
        </row>
        <row r="120">
          <cell r="B120" t="str">
            <v>三菱化学高分子材料（南通）有限公司</v>
          </cell>
        </row>
        <row r="121">
          <cell r="B121" t="str">
            <v>恵州恵菱化成有限公司</v>
          </cell>
        </row>
        <row r="122">
          <cell r="B122" t="str">
            <v>株式会社三菱ケミカルホールディングス</v>
          </cell>
        </row>
        <row r="123">
          <cell r="B123" t="str">
            <v>株式会社三菱ケミカルホールディングスコーポレートスタッフ</v>
          </cell>
        </row>
        <row r="124">
          <cell r="B124" t="str">
            <v>株式会社三菱ケミカルホールディングスコーポレートスタッフ（ＳＡＰ）</v>
          </cell>
        </row>
        <row r="125">
          <cell r="B125" t="str">
            <v>株式会社地球快適化インスティテュート</v>
          </cell>
        </row>
        <row r="126">
          <cell r="B126" t="str">
            <v>株式会社生命科学インスティテュート</v>
          </cell>
        </row>
        <row r="127">
          <cell r="B127" t="str">
            <v>株式会社エーピーアイコーポレーション</v>
          </cell>
        </row>
      </sheetData>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 TANK MASTER"/>
      <sheetName val="OS TANK MASTER"/>
      <sheetName val="在庫"/>
    </sheetNames>
    <sheetDataSet>
      <sheetData sheetId="0" refreshError="1">
        <row r="2">
          <cell r="B2" t="str">
            <v>TANK No.</v>
          </cell>
          <cell r="D2" t="str">
            <v>Nominal Capacity   [kl]</v>
          </cell>
          <cell r="E2" t="str">
            <v>Avail Max Capacity  [kl]</v>
          </cell>
          <cell r="F2" t="str">
            <v>Dead Stock  [kl]</v>
          </cell>
          <cell r="G2" t="str">
            <v>Avail            [kl]</v>
          </cell>
        </row>
        <row r="3">
          <cell r="B3">
            <v>4</v>
          </cell>
          <cell r="C3" t="str">
            <v>ME Crude</v>
          </cell>
          <cell r="D3">
            <v>50000</v>
          </cell>
          <cell r="E3">
            <v>45860</v>
          </cell>
          <cell r="F3">
            <v>6499</v>
          </cell>
          <cell r="G3">
            <v>39361</v>
          </cell>
        </row>
        <row r="4">
          <cell r="B4">
            <v>12</v>
          </cell>
          <cell r="C4" t="str">
            <v>ME Crude</v>
          </cell>
          <cell r="D4">
            <v>70000</v>
          </cell>
          <cell r="E4">
            <v>66249</v>
          </cell>
          <cell r="F4">
            <v>7000</v>
          </cell>
          <cell r="G4">
            <v>59249</v>
          </cell>
        </row>
        <row r="5">
          <cell r="B5">
            <v>14</v>
          </cell>
          <cell r="C5" t="str">
            <v>ME Crude</v>
          </cell>
          <cell r="D5">
            <v>70000</v>
          </cell>
          <cell r="E5">
            <v>66265</v>
          </cell>
          <cell r="F5">
            <v>7000</v>
          </cell>
          <cell r="G5">
            <v>59265</v>
          </cell>
        </row>
        <row r="6">
          <cell r="B6">
            <v>15</v>
          </cell>
          <cell r="C6" t="str">
            <v>ME Crude</v>
          </cell>
          <cell r="D6">
            <v>70000</v>
          </cell>
          <cell r="E6">
            <v>66567</v>
          </cell>
          <cell r="F6">
            <v>7000</v>
          </cell>
          <cell r="G6">
            <v>59567</v>
          </cell>
        </row>
        <row r="7">
          <cell r="B7">
            <v>2</v>
          </cell>
          <cell r="C7" t="str">
            <v>SL Crude</v>
          </cell>
          <cell r="D7">
            <v>50000</v>
          </cell>
          <cell r="E7">
            <v>45712</v>
          </cell>
          <cell r="F7">
            <v>10000</v>
          </cell>
          <cell r="G7">
            <v>35712</v>
          </cell>
        </row>
        <row r="8">
          <cell r="B8">
            <v>3</v>
          </cell>
          <cell r="C8" t="str">
            <v>SL Crude</v>
          </cell>
          <cell r="D8">
            <v>50000</v>
          </cell>
          <cell r="E8">
            <v>45206</v>
          </cell>
          <cell r="F8">
            <v>10000</v>
          </cell>
          <cell r="G8">
            <v>35206</v>
          </cell>
        </row>
        <row r="9">
          <cell r="B9">
            <v>1862</v>
          </cell>
          <cell r="C9" t="str">
            <v>WSR</v>
          </cell>
          <cell r="D9">
            <v>14000</v>
          </cell>
          <cell r="E9">
            <v>12900</v>
          </cell>
          <cell r="F9">
            <v>2000</v>
          </cell>
          <cell r="G9">
            <v>10900</v>
          </cell>
        </row>
        <row r="10">
          <cell r="B10">
            <v>1866</v>
          </cell>
          <cell r="C10" t="str">
            <v>WSR</v>
          </cell>
          <cell r="D10">
            <v>14000</v>
          </cell>
          <cell r="E10">
            <v>12900</v>
          </cell>
          <cell r="F10">
            <v>2000</v>
          </cell>
          <cell r="G10">
            <v>10900</v>
          </cell>
        </row>
        <row r="11">
          <cell r="G11">
            <v>0</v>
          </cell>
        </row>
        <row r="12">
          <cell r="C12" t="str">
            <v>IMP_NAPH</v>
          </cell>
          <cell r="G12">
            <v>0</v>
          </cell>
        </row>
        <row r="13">
          <cell r="G13">
            <v>0</v>
          </cell>
        </row>
        <row r="14">
          <cell r="B14">
            <v>1151</v>
          </cell>
          <cell r="C14" t="str">
            <v>Coker Naph</v>
          </cell>
          <cell r="D14">
            <v>2000</v>
          </cell>
          <cell r="E14">
            <v>1890</v>
          </cell>
          <cell r="F14">
            <v>470</v>
          </cell>
          <cell r="G14">
            <v>1420</v>
          </cell>
        </row>
        <row r="15">
          <cell r="G15">
            <v>0</v>
          </cell>
        </row>
        <row r="16">
          <cell r="B16">
            <v>571</v>
          </cell>
          <cell r="C16" t="str">
            <v>NH-LSR</v>
          </cell>
          <cell r="D16">
            <v>1000</v>
          </cell>
          <cell r="E16">
            <v>890</v>
          </cell>
          <cell r="F16">
            <v>250</v>
          </cell>
          <cell r="G16">
            <v>640</v>
          </cell>
        </row>
        <row r="17">
          <cell r="B17">
            <v>1861</v>
          </cell>
          <cell r="C17" t="str">
            <v>NH-LSR</v>
          </cell>
          <cell r="D17">
            <v>14000</v>
          </cell>
          <cell r="E17">
            <v>12900</v>
          </cell>
          <cell r="F17">
            <v>1338</v>
          </cell>
          <cell r="G17">
            <v>11562</v>
          </cell>
        </row>
        <row r="18">
          <cell r="B18">
            <v>1864</v>
          </cell>
          <cell r="C18" t="str">
            <v>NH-LSR</v>
          </cell>
          <cell r="D18">
            <v>3000</v>
          </cell>
          <cell r="E18">
            <v>2700</v>
          </cell>
          <cell r="F18">
            <v>247</v>
          </cell>
          <cell r="G18">
            <v>2453</v>
          </cell>
        </row>
        <row r="19">
          <cell r="G19">
            <v>0</v>
          </cell>
        </row>
        <row r="20">
          <cell r="B20">
            <v>575</v>
          </cell>
          <cell r="C20" t="str">
            <v>Pentane</v>
          </cell>
          <cell r="D20">
            <v>1000</v>
          </cell>
          <cell r="E20">
            <v>980</v>
          </cell>
          <cell r="F20">
            <v>70</v>
          </cell>
          <cell r="G20">
            <v>910</v>
          </cell>
        </row>
        <row r="21">
          <cell r="B21">
            <v>576</v>
          </cell>
          <cell r="C21" t="str">
            <v>Pentane</v>
          </cell>
          <cell r="D21">
            <v>1000</v>
          </cell>
          <cell r="E21">
            <v>980</v>
          </cell>
          <cell r="F21">
            <v>100</v>
          </cell>
          <cell r="G21">
            <v>880</v>
          </cell>
        </row>
        <row r="22">
          <cell r="G22">
            <v>0</v>
          </cell>
        </row>
        <row r="23">
          <cell r="B23">
            <v>577</v>
          </cell>
          <cell r="C23" t="str">
            <v>NH-HSR</v>
          </cell>
          <cell r="D23">
            <v>7000</v>
          </cell>
          <cell r="E23">
            <v>6850</v>
          </cell>
          <cell r="F23">
            <v>579</v>
          </cell>
          <cell r="G23">
            <v>6271</v>
          </cell>
        </row>
        <row r="24">
          <cell r="G24">
            <v>0</v>
          </cell>
        </row>
        <row r="25">
          <cell r="B25">
            <v>570</v>
          </cell>
          <cell r="C25" t="str">
            <v>LO FMT</v>
          </cell>
          <cell r="D25">
            <v>6000</v>
          </cell>
          <cell r="E25">
            <v>5200</v>
          </cell>
          <cell r="F25">
            <v>479</v>
          </cell>
          <cell r="G25">
            <v>4721</v>
          </cell>
        </row>
        <row r="26">
          <cell r="B26">
            <v>1153</v>
          </cell>
          <cell r="C26" t="str">
            <v>LO FMT</v>
          </cell>
          <cell r="D26">
            <v>2000</v>
          </cell>
          <cell r="E26">
            <v>1490</v>
          </cell>
          <cell r="F26">
            <v>400</v>
          </cell>
          <cell r="G26">
            <v>1090</v>
          </cell>
        </row>
        <row r="27">
          <cell r="G27">
            <v>0</v>
          </cell>
        </row>
        <row r="28">
          <cell r="B28">
            <v>1661</v>
          </cell>
          <cell r="C28" t="str">
            <v>Dash FMT</v>
          </cell>
          <cell r="D28">
            <v>12000</v>
          </cell>
          <cell r="E28">
            <v>10700</v>
          </cell>
          <cell r="F28">
            <v>1049</v>
          </cell>
          <cell r="G28">
            <v>9651</v>
          </cell>
        </row>
        <row r="29">
          <cell r="B29">
            <v>1662</v>
          </cell>
          <cell r="C29" t="str">
            <v>Dash FMT</v>
          </cell>
          <cell r="D29">
            <v>12000</v>
          </cell>
          <cell r="E29">
            <v>10700</v>
          </cell>
          <cell r="F29">
            <v>1129</v>
          </cell>
          <cell r="G29">
            <v>9571</v>
          </cell>
        </row>
        <row r="30">
          <cell r="B30">
            <v>1665</v>
          </cell>
          <cell r="C30" t="str">
            <v>Dash FMT</v>
          </cell>
          <cell r="D30">
            <v>12000</v>
          </cell>
          <cell r="E30">
            <v>10700</v>
          </cell>
          <cell r="F30">
            <v>1177</v>
          </cell>
          <cell r="G30">
            <v>9523</v>
          </cell>
        </row>
        <row r="31">
          <cell r="G31">
            <v>0</v>
          </cell>
        </row>
        <row r="32">
          <cell r="B32">
            <v>572</v>
          </cell>
          <cell r="C32" t="str">
            <v>C9 &amp; XYLENE</v>
          </cell>
          <cell r="D32">
            <v>1500</v>
          </cell>
          <cell r="E32">
            <v>1360</v>
          </cell>
          <cell r="F32">
            <v>225</v>
          </cell>
          <cell r="G32">
            <v>1135</v>
          </cell>
        </row>
        <row r="33">
          <cell r="B33">
            <v>1666</v>
          </cell>
          <cell r="C33" t="str">
            <v>HO FMT</v>
          </cell>
          <cell r="D33">
            <v>12000</v>
          </cell>
          <cell r="E33">
            <v>10700</v>
          </cell>
          <cell r="F33">
            <v>1030</v>
          </cell>
          <cell r="G33">
            <v>9670</v>
          </cell>
        </row>
        <row r="34">
          <cell r="G34">
            <v>0</v>
          </cell>
        </row>
        <row r="35">
          <cell r="B35">
            <v>1652</v>
          </cell>
          <cell r="C35" t="str">
            <v>FCC LT GASO</v>
          </cell>
          <cell r="D35">
            <v>9000</v>
          </cell>
          <cell r="E35">
            <v>8200</v>
          </cell>
          <cell r="F35">
            <v>760</v>
          </cell>
          <cell r="G35">
            <v>7440</v>
          </cell>
        </row>
        <row r="36">
          <cell r="G36">
            <v>0</v>
          </cell>
        </row>
        <row r="37">
          <cell r="B37">
            <v>7</v>
          </cell>
          <cell r="C37" t="str">
            <v>FCC GASO</v>
          </cell>
          <cell r="D37">
            <v>30000</v>
          </cell>
          <cell r="E37">
            <v>30000</v>
          </cell>
          <cell r="F37">
            <v>3188</v>
          </cell>
          <cell r="G37">
            <v>26812</v>
          </cell>
        </row>
        <row r="38">
          <cell r="B38">
            <v>10</v>
          </cell>
          <cell r="C38" t="str">
            <v>FCC GASO</v>
          </cell>
          <cell r="D38">
            <v>0</v>
          </cell>
          <cell r="E38">
            <v>0</v>
          </cell>
          <cell r="F38">
            <v>0</v>
          </cell>
          <cell r="G38">
            <v>0</v>
          </cell>
        </row>
        <row r="39">
          <cell r="B39">
            <v>573</v>
          </cell>
          <cell r="C39" t="str">
            <v>ALKYLATE</v>
          </cell>
          <cell r="D39">
            <v>3000</v>
          </cell>
          <cell r="E39">
            <v>2790</v>
          </cell>
          <cell r="F39">
            <v>282</v>
          </cell>
          <cell r="G39">
            <v>2508</v>
          </cell>
        </row>
        <row r="40">
          <cell r="G40">
            <v>0</v>
          </cell>
        </row>
        <row r="41">
          <cell r="B41">
            <v>1164</v>
          </cell>
          <cell r="C41" t="str">
            <v>MTBE</v>
          </cell>
          <cell r="D41">
            <v>1500</v>
          </cell>
          <cell r="E41">
            <v>1464</v>
          </cell>
          <cell r="F41">
            <v>200</v>
          </cell>
          <cell r="G41">
            <v>1264</v>
          </cell>
        </row>
        <row r="42">
          <cell r="G42">
            <v>0</v>
          </cell>
        </row>
        <row r="43">
          <cell r="B43">
            <v>553</v>
          </cell>
          <cell r="C43" t="str">
            <v>Dash Racer</v>
          </cell>
          <cell r="D43">
            <v>5000</v>
          </cell>
          <cell r="E43">
            <v>4500</v>
          </cell>
          <cell r="F43">
            <v>400</v>
          </cell>
          <cell r="G43">
            <v>4100</v>
          </cell>
        </row>
        <row r="44">
          <cell r="B44">
            <v>574</v>
          </cell>
          <cell r="C44" t="str">
            <v>Dash Racer</v>
          </cell>
          <cell r="D44">
            <v>2000</v>
          </cell>
          <cell r="E44">
            <v>1800</v>
          </cell>
          <cell r="F44">
            <v>262</v>
          </cell>
          <cell r="G44">
            <v>1538</v>
          </cell>
        </row>
        <row r="45">
          <cell r="G45">
            <v>0</v>
          </cell>
        </row>
        <row r="46">
          <cell r="B46">
            <v>1650</v>
          </cell>
          <cell r="C46" t="str">
            <v>Dash Gaso</v>
          </cell>
          <cell r="D46">
            <v>12000</v>
          </cell>
          <cell r="E46">
            <v>10500</v>
          </cell>
          <cell r="F46">
            <v>960</v>
          </cell>
          <cell r="G46">
            <v>9540</v>
          </cell>
        </row>
        <row r="47">
          <cell r="B47">
            <v>1651</v>
          </cell>
          <cell r="C47" t="str">
            <v>Dash Gaso</v>
          </cell>
          <cell r="D47">
            <v>12000</v>
          </cell>
          <cell r="E47">
            <v>10800</v>
          </cell>
          <cell r="F47">
            <v>963</v>
          </cell>
          <cell r="G47">
            <v>9837</v>
          </cell>
        </row>
        <row r="48">
          <cell r="G48">
            <v>0</v>
          </cell>
        </row>
        <row r="49">
          <cell r="B49">
            <v>1672</v>
          </cell>
          <cell r="C49" t="str">
            <v>White Gaso</v>
          </cell>
          <cell r="D49">
            <v>300</v>
          </cell>
          <cell r="E49">
            <v>290</v>
          </cell>
          <cell r="F49">
            <v>30</v>
          </cell>
          <cell r="G49">
            <v>260</v>
          </cell>
        </row>
        <row r="50">
          <cell r="G50">
            <v>0</v>
          </cell>
        </row>
        <row r="51">
          <cell r="B51">
            <v>1859</v>
          </cell>
          <cell r="C51" t="str">
            <v>Export Gaso</v>
          </cell>
          <cell r="D51">
            <v>14000</v>
          </cell>
          <cell r="E51">
            <v>12900</v>
          </cell>
          <cell r="F51">
            <v>1286</v>
          </cell>
          <cell r="G51">
            <v>11614</v>
          </cell>
        </row>
        <row r="52">
          <cell r="B52">
            <v>1860</v>
          </cell>
          <cell r="C52" t="str">
            <v>Export Gaso</v>
          </cell>
          <cell r="D52">
            <v>14000</v>
          </cell>
          <cell r="E52">
            <v>12900</v>
          </cell>
          <cell r="F52">
            <v>1214</v>
          </cell>
          <cell r="G52">
            <v>11686</v>
          </cell>
        </row>
        <row r="53">
          <cell r="G53">
            <v>0</v>
          </cell>
        </row>
        <row r="54">
          <cell r="B54">
            <v>1256</v>
          </cell>
          <cell r="C54" t="str">
            <v>O/S Raw BZ</v>
          </cell>
          <cell r="D54">
            <v>7000</v>
          </cell>
          <cell r="E54">
            <v>6800</v>
          </cell>
          <cell r="F54">
            <v>1000</v>
          </cell>
          <cell r="G54">
            <v>5800</v>
          </cell>
        </row>
        <row r="55">
          <cell r="G55">
            <v>0</v>
          </cell>
        </row>
        <row r="56">
          <cell r="B56">
            <v>1261</v>
          </cell>
          <cell r="C56" t="str">
            <v>BZ</v>
          </cell>
          <cell r="D56">
            <v>7000</v>
          </cell>
          <cell r="E56">
            <v>6760</v>
          </cell>
          <cell r="F56">
            <v>640</v>
          </cell>
          <cell r="G56">
            <v>6120</v>
          </cell>
        </row>
        <row r="57">
          <cell r="B57">
            <v>1266</v>
          </cell>
          <cell r="C57" t="str">
            <v>BZ</v>
          </cell>
          <cell r="D57">
            <v>7000</v>
          </cell>
          <cell r="E57">
            <v>6760</v>
          </cell>
          <cell r="F57">
            <v>664</v>
          </cell>
          <cell r="G57">
            <v>6096</v>
          </cell>
        </row>
        <row r="58">
          <cell r="G58">
            <v>0</v>
          </cell>
        </row>
        <row r="59">
          <cell r="B59">
            <v>578</v>
          </cell>
          <cell r="C59" t="str">
            <v>TOLUENE</v>
          </cell>
          <cell r="D59">
            <v>7000</v>
          </cell>
          <cell r="E59">
            <v>6680</v>
          </cell>
          <cell r="F59">
            <v>806</v>
          </cell>
          <cell r="G59">
            <v>5874</v>
          </cell>
        </row>
        <row r="60">
          <cell r="G60">
            <v>0</v>
          </cell>
        </row>
        <row r="61">
          <cell r="B61">
            <v>1863</v>
          </cell>
          <cell r="C61" t="str">
            <v>XYLENE</v>
          </cell>
          <cell r="D61">
            <v>7000</v>
          </cell>
          <cell r="E61">
            <v>6900</v>
          </cell>
          <cell r="F61">
            <v>546</v>
          </cell>
          <cell r="G61">
            <v>6354</v>
          </cell>
        </row>
        <row r="62">
          <cell r="B62">
            <v>1865</v>
          </cell>
          <cell r="C62" t="str">
            <v>XYLENE</v>
          </cell>
          <cell r="D62">
            <v>14000</v>
          </cell>
          <cell r="E62">
            <v>12900</v>
          </cell>
          <cell r="F62">
            <v>1214</v>
          </cell>
          <cell r="G62">
            <v>11686</v>
          </cell>
        </row>
        <row r="63">
          <cell r="G63">
            <v>0</v>
          </cell>
        </row>
        <row r="64">
          <cell r="B64">
            <v>701</v>
          </cell>
          <cell r="C64" t="str">
            <v>Raw Kero</v>
          </cell>
          <cell r="D64">
            <v>14000</v>
          </cell>
          <cell r="E64">
            <v>12500</v>
          </cell>
          <cell r="F64">
            <v>2000</v>
          </cell>
          <cell r="G64">
            <v>10500</v>
          </cell>
        </row>
        <row r="65">
          <cell r="B65">
            <v>702</v>
          </cell>
          <cell r="C65" t="str">
            <v>Raw Kero</v>
          </cell>
          <cell r="D65">
            <v>14000</v>
          </cell>
          <cell r="E65">
            <v>12500</v>
          </cell>
          <cell r="F65">
            <v>2500</v>
          </cell>
          <cell r="G65">
            <v>10000</v>
          </cell>
        </row>
        <row r="66">
          <cell r="G66">
            <v>0</v>
          </cell>
        </row>
        <row r="67">
          <cell r="B67">
            <v>705</v>
          </cell>
          <cell r="C67" t="str">
            <v>Raw SOL</v>
          </cell>
          <cell r="D67">
            <v>3000</v>
          </cell>
          <cell r="E67">
            <v>2720</v>
          </cell>
          <cell r="F67">
            <v>700</v>
          </cell>
          <cell r="G67">
            <v>2020</v>
          </cell>
        </row>
        <row r="68">
          <cell r="B68">
            <v>1356</v>
          </cell>
          <cell r="C68" t="str">
            <v>Raw JP</v>
          </cell>
          <cell r="D68">
            <v>7000</v>
          </cell>
          <cell r="E68">
            <v>6800</v>
          </cell>
          <cell r="F68">
            <v>1500</v>
          </cell>
          <cell r="G68">
            <v>5300</v>
          </cell>
        </row>
        <row r="69">
          <cell r="G69">
            <v>0</v>
          </cell>
        </row>
        <row r="70">
          <cell r="B70">
            <v>558</v>
          </cell>
          <cell r="C70" t="str">
            <v>C9 AROMA</v>
          </cell>
          <cell r="D70">
            <v>2000</v>
          </cell>
          <cell r="E70">
            <v>1800</v>
          </cell>
          <cell r="F70">
            <v>166</v>
          </cell>
          <cell r="G70">
            <v>1634</v>
          </cell>
        </row>
        <row r="71">
          <cell r="G71">
            <v>0</v>
          </cell>
        </row>
        <row r="72">
          <cell r="B72">
            <v>568</v>
          </cell>
          <cell r="C72" t="str">
            <v>#1Kero</v>
          </cell>
          <cell r="D72">
            <v>900</v>
          </cell>
          <cell r="E72">
            <v>800</v>
          </cell>
          <cell r="F72">
            <v>130</v>
          </cell>
          <cell r="G72">
            <v>670</v>
          </cell>
        </row>
        <row r="73">
          <cell r="B73">
            <v>1653</v>
          </cell>
          <cell r="C73" t="str">
            <v>#1Kero</v>
          </cell>
          <cell r="D73">
            <v>3000</v>
          </cell>
          <cell r="E73">
            <v>2950</v>
          </cell>
          <cell r="F73">
            <v>307</v>
          </cell>
          <cell r="G73">
            <v>2643</v>
          </cell>
        </row>
        <row r="74">
          <cell r="B74">
            <v>1657</v>
          </cell>
          <cell r="C74" t="str">
            <v>#1Kero</v>
          </cell>
          <cell r="D74">
            <v>5000</v>
          </cell>
          <cell r="E74">
            <v>4680</v>
          </cell>
          <cell r="F74">
            <v>340</v>
          </cell>
          <cell r="G74">
            <v>4340</v>
          </cell>
        </row>
        <row r="75">
          <cell r="B75">
            <v>1663</v>
          </cell>
          <cell r="C75" t="str">
            <v>#1Kero</v>
          </cell>
          <cell r="D75">
            <v>9000</v>
          </cell>
          <cell r="E75">
            <v>8800</v>
          </cell>
          <cell r="F75">
            <v>811</v>
          </cell>
          <cell r="G75">
            <v>7989</v>
          </cell>
        </row>
        <row r="76">
          <cell r="B76">
            <v>1664</v>
          </cell>
          <cell r="C76" t="str">
            <v>#1Kero</v>
          </cell>
          <cell r="D76">
            <v>9000</v>
          </cell>
          <cell r="E76">
            <v>8800</v>
          </cell>
          <cell r="F76">
            <v>658</v>
          </cell>
          <cell r="G76">
            <v>8142</v>
          </cell>
        </row>
        <row r="77">
          <cell r="G77">
            <v>0</v>
          </cell>
        </row>
        <row r="78">
          <cell r="B78">
            <v>1656</v>
          </cell>
          <cell r="C78" t="str">
            <v>MOLEX</v>
          </cell>
          <cell r="D78">
            <v>5000</v>
          </cell>
          <cell r="E78">
            <v>4700</v>
          </cell>
          <cell r="F78">
            <v>340</v>
          </cell>
          <cell r="G78">
            <v>4360</v>
          </cell>
        </row>
        <row r="79">
          <cell r="G79">
            <v>0</v>
          </cell>
        </row>
        <row r="80">
          <cell r="B80">
            <v>551</v>
          </cell>
          <cell r="C80" t="str">
            <v>UF JP</v>
          </cell>
          <cell r="D80">
            <v>3000</v>
          </cell>
          <cell r="E80">
            <v>2930</v>
          </cell>
          <cell r="F80">
            <v>221</v>
          </cell>
          <cell r="G80">
            <v>2709</v>
          </cell>
        </row>
        <row r="81">
          <cell r="G81">
            <v>0</v>
          </cell>
        </row>
        <row r="82">
          <cell r="B82">
            <v>567</v>
          </cell>
          <cell r="C82" t="str">
            <v>JP-4</v>
          </cell>
          <cell r="D82">
            <v>5000</v>
          </cell>
          <cell r="E82">
            <v>4474</v>
          </cell>
          <cell r="F82">
            <v>360</v>
          </cell>
          <cell r="G82">
            <v>4114</v>
          </cell>
        </row>
        <row r="83">
          <cell r="G83">
            <v>0</v>
          </cell>
        </row>
        <row r="84">
          <cell r="B84">
            <v>557</v>
          </cell>
          <cell r="C84" t="str">
            <v>A-SOL</v>
          </cell>
          <cell r="D84">
            <v>3000</v>
          </cell>
          <cell r="E84">
            <v>2900</v>
          </cell>
          <cell r="F84">
            <v>219</v>
          </cell>
          <cell r="G84">
            <v>2681</v>
          </cell>
        </row>
        <row r="85">
          <cell r="G85">
            <v>0</v>
          </cell>
        </row>
        <row r="86">
          <cell r="B86">
            <v>552</v>
          </cell>
          <cell r="C86" t="str">
            <v>JP-5</v>
          </cell>
          <cell r="D86">
            <v>3000</v>
          </cell>
          <cell r="E86">
            <v>2900</v>
          </cell>
          <cell r="F86">
            <v>288</v>
          </cell>
          <cell r="G86">
            <v>2612</v>
          </cell>
        </row>
        <row r="87">
          <cell r="B87">
            <v>556</v>
          </cell>
          <cell r="C87" t="str">
            <v>JP-5</v>
          </cell>
          <cell r="D87">
            <v>3000</v>
          </cell>
          <cell r="E87">
            <v>2996</v>
          </cell>
          <cell r="F87">
            <v>235</v>
          </cell>
          <cell r="G87">
            <v>2761</v>
          </cell>
        </row>
        <row r="88">
          <cell r="G88">
            <v>0</v>
          </cell>
        </row>
        <row r="89">
          <cell r="B89">
            <v>703</v>
          </cell>
          <cell r="C89" t="str">
            <v>ME Gas Oil</v>
          </cell>
          <cell r="D89">
            <v>14000</v>
          </cell>
          <cell r="E89">
            <v>12400</v>
          </cell>
          <cell r="F89">
            <v>1900</v>
          </cell>
          <cell r="G89">
            <v>10500</v>
          </cell>
        </row>
        <row r="90">
          <cell r="G90">
            <v>0</v>
          </cell>
        </row>
        <row r="91">
          <cell r="B91">
            <v>9</v>
          </cell>
          <cell r="C91" t="str">
            <v>LS Gas Oil</v>
          </cell>
          <cell r="D91">
            <v>25000</v>
          </cell>
          <cell r="E91">
            <v>23500</v>
          </cell>
          <cell r="F91">
            <v>2799</v>
          </cell>
          <cell r="G91">
            <v>20701</v>
          </cell>
        </row>
        <row r="92">
          <cell r="B92">
            <v>1667</v>
          </cell>
          <cell r="C92" t="str">
            <v>LS Gas Oil</v>
          </cell>
          <cell r="D92">
            <v>12000</v>
          </cell>
          <cell r="E92">
            <v>11000</v>
          </cell>
          <cell r="F92">
            <v>442</v>
          </cell>
          <cell r="G92">
            <v>10558</v>
          </cell>
        </row>
        <row r="93">
          <cell r="B93">
            <v>1668</v>
          </cell>
          <cell r="C93" t="str">
            <v>LS Gas Oil</v>
          </cell>
          <cell r="D93">
            <v>12000</v>
          </cell>
          <cell r="E93">
            <v>11200</v>
          </cell>
          <cell r="F93">
            <v>543</v>
          </cell>
          <cell r="G93">
            <v>10657</v>
          </cell>
        </row>
        <row r="94">
          <cell r="G94">
            <v>0</v>
          </cell>
        </row>
        <row r="95">
          <cell r="B95">
            <v>1654</v>
          </cell>
          <cell r="C95" t="str">
            <v>DGO</v>
          </cell>
          <cell r="D95">
            <v>9000</v>
          </cell>
          <cell r="E95">
            <v>8900</v>
          </cell>
          <cell r="F95">
            <v>626</v>
          </cell>
          <cell r="G95">
            <v>8274</v>
          </cell>
        </row>
        <row r="96">
          <cell r="B96">
            <v>1655</v>
          </cell>
          <cell r="C96" t="str">
            <v>DGO</v>
          </cell>
          <cell r="D96">
            <v>9000</v>
          </cell>
          <cell r="E96">
            <v>8700</v>
          </cell>
          <cell r="F96">
            <v>473</v>
          </cell>
          <cell r="G96">
            <v>8227</v>
          </cell>
        </row>
        <row r="97">
          <cell r="G97">
            <v>0</v>
          </cell>
        </row>
        <row r="98">
          <cell r="B98">
            <v>569</v>
          </cell>
          <cell r="C98" t="str">
            <v>DGO(LS)</v>
          </cell>
          <cell r="D98">
            <v>900</v>
          </cell>
          <cell r="E98">
            <v>800</v>
          </cell>
          <cell r="F98">
            <v>78</v>
          </cell>
          <cell r="G98">
            <v>722</v>
          </cell>
        </row>
        <row r="99">
          <cell r="G99">
            <v>0</v>
          </cell>
        </row>
        <row r="100">
          <cell r="B100">
            <v>5</v>
          </cell>
          <cell r="C100" t="str">
            <v>Export DGO</v>
          </cell>
          <cell r="D100">
            <v>25000</v>
          </cell>
          <cell r="E100">
            <v>23500</v>
          </cell>
          <cell r="F100">
            <v>3096</v>
          </cell>
          <cell r="G100">
            <v>20404</v>
          </cell>
        </row>
        <row r="101">
          <cell r="B101">
            <v>13</v>
          </cell>
          <cell r="C101" t="str">
            <v>Export DGO</v>
          </cell>
          <cell r="D101">
            <v>70000</v>
          </cell>
          <cell r="E101">
            <v>66300</v>
          </cell>
          <cell r="F101">
            <v>6500</v>
          </cell>
          <cell r="G101">
            <v>59800</v>
          </cell>
        </row>
        <row r="102">
          <cell r="B102">
            <v>1852</v>
          </cell>
          <cell r="C102" t="str">
            <v>Export DGO</v>
          </cell>
          <cell r="D102">
            <v>14000</v>
          </cell>
          <cell r="E102">
            <v>12700</v>
          </cell>
          <cell r="F102">
            <v>667</v>
          </cell>
          <cell r="G102">
            <v>12033</v>
          </cell>
        </row>
        <row r="103">
          <cell r="B103">
            <v>1854</v>
          </cell>
          <cell r="C103" t="str">
            <v>Export DGO</v>
          </cell>
          <cell r="D103">
            <v>14000</v>
          </cell>
          <cell r="E103">
            <v>12700</v>
          </cell>
          <cell r="F103">
            <v>703</v>
          </cell>
          <cell r="G103">
            <v>11997</v>
          </cell>
        </row>
        <row r="104">
          <cell r="G104">
            <v>0</v>
          </cell>
        </row>
        <row r="105">
          <cell r="B105">
            <v>1259</v>
          </cell>
          <cell r="C105" t="str">
            <v>LCO</v>
          </cell>
          <cell r="D105">
            <v>7000</v>
          </cell>
          <cell r="E105">
            <v>6900</v>
          </cell>
          <cell r="F105">
            <v>296</v>
          </cell>
          <cell r="G105">
            <v>6604</v>
          </cell>
        </row>
        <row r="106">
          <cell r="B106">
            <v>1267</v>
          </cell>
          <cell r="C106" t="str">
            <v>MIX DGO</v>
          </cell>
          <cell r="D106">
            <v>7000</v>
          </cell>
          <cell r="E106">
            <v>6900</v>
          </cell>
          <cell r="F106">
            <v>324</v>
          </cell>
          <cell r="G106">
            <v>6576</v>
          </cell>
        </row>
        <row r="107">
          <cell r="G107">
            <v>0</v>
          </cell>
        </row>
        <row r="108">
          <cell r="B108">
            <v>1265</v>
          </cell>
          <cell r="C108" t="str">
            <v>ME LVD</v>
          </cell>
          <cell r="D108">
            <v>7000</v>
          </cell>
          <cell r="E108">
            <v>6800</v>
          </cell>
          <cell r="F108">
            <v>328</v>
          </cell>
          <cell r="G108">
            <v>6472</v>
          </cell>
        </row>
        <row r="109">
          <cell r="G109">
            <v>0</v>
          </cell>
        </row>
        <row r="110">
          <cell r="B110">
            <v>2052</v>
          </cell>
          <cell r="C110" t="str">
            <v>NS EXT</v>
          </cell>
          <cell r="D110">
            <v>3000</v>
          </cell>
          <cell r="E110">
            <v>2800</v>
          </cell>
          <cell r="F110">
            <v>149</v>
          </cell>
          <cell r="G110">
            <v>2651</v>
          </cell>
        </row>
        <row r="111">
          <cell r="G111">
            <v>0</v>
          </cell>
        </row>
        <row r="112">
          <cell r="B112">
            <v>1355</v>
          </cell>
          <cell r="C112" t="str">
            <v>FOA(E)</v>
          </cell>
          <cell r="D112">
            <v>7000</v>
          </cell>
          <cell r="E112">
            <v>6700</v>
          </cell>
          <cell r="F112">
            <v>590</v>
          </cell>
          <cell r="G112">
            <v>6110</v>
          </cell>
        </row>
        <row r="113">
          <cell r="B113">
            <v>1357</v>
          </cell>
          <cell r="C113" t="str">
            <v>FOA(E)</v>
          </cell>
          <cell r="D113">
            <v>6000</v>
          </cell>
          <cell r="E113">
            <v>5400</v>
          </cell>
          <cell r="F113">
            <v>323</v>
          </cell>
          <cell r="G113">
            <v>5077</v>
          </cell>
        </row>
        <row r="114">
          <cell r="B114">
            <v>1671</v>
          </cell>
          <cell r="C114" t="str">
            <v>FOA(E)</v>
          </cell>
          <cell r="D114">
            <v>500</v>
          </cell>
          <cell r="E114">
            <v>471</v>
          </cell>
          <cell r="F114">
            <v>48</v>
          </cell>
          <cell r="G114">
            <v>423</v>
          </cell>
        </row>
        <row r="115">
          <cell r="B115">
            <v>1677</v>
          </cell>
          <cell r="C115" t="str">
            <v>FOA(E)</v>
          </cell>
          <cell r="D115">
            <v>200</v>
          </cell>
          <cell r="E115">
            <v>175</v>
          </cell>
          <cell r="F115">
            <v>16</v>
          </cell>
          <cell r="G115">
            <v>159</v>
          </cell>
        </row>
        <row r="116">
          <cell r="G116">
            <v>0</v>
          </cell>
        </row>
        <row r="117">
          <cell r="B117">
            <v>1255</v>
          </cell>
          <cell r="C117" t="str">
            <v>FOA(B)</v>
          </cell>
          <cell r="D117">
            <v>7000</v>
          </cell>
          <cell r="E117">
            <v>6700</v>
          </cell>
          <cell r="F117">
            <v>359</v>
          </cell>
          <cell r="G117">
            <v>6341</v>
          </cell>
        </row>
        <row r="118">
          <cell r="B118">
            <v>1260</v>
          </cell>
          <cell r="C118" t="str">
            <v>FOA(B)</v>
          </cell>
          <cell r="D118">
            <v>7000</v>
          </cell>
          <cell r="E118">
            <v>6800</v>
          </cell>
          <cell r="F118">
            <v>365</v>
          </cell>
          <cell r="G118">
            <v>6435</v>
          </cell>
        </row>
        <row r="119">
          <cell r="B119">
            <v>2053</v>
          </cell>
          <cell r="C119" t="str">
            <v>FOA(B)</v>
          </cell>
          <cell r="D119">
            <v>3000</v>
          </cell>
          <cell r="E119">
            <v>2700</v>
          </cell>
          <cell r="F119">
            <v>219</v>
          </cell>
          <cell r="G119">
            <v>2481</v>
          </cell>
        </row>
        <row r="120">
          <cell r="G120">
            <v>0</v>
          </cell>
        </row>
        <row r="121">
          <cell r="B121">
            <v>562</v>
          </cell>
          <cell r="C121" t="str">
            <v>LSA</v>
          </cell>
          <cell r="D121">
            <v>2000</v>
          </cell>
          <cell r="E121">
            <v>1850</v>
          </cell>
          <cell r="F121">
            <v>215</v>
          </cell>
          <cell r="G121">
            <v>1635</v>
          </cell>
        </row>
        <row r="122">
          <cell r="G122">
            <v>0</v>
          </cell>
        </row>
        <row r="123">
          <cell r="B123">
            <v>1270</v>
          </cell>
          <cell r="C123" t="str">
            <v>SL WVD</v>
          </cell>
          <cell r="D123">
            <v>14000</v>
          </cell>
          <cell r="E123">
            <v>12600</v>
          </cell>
          <cell r="F123">
            <v>3000</v>
          </cell>
          <cell r="G123">
            <v>9600</v>
          </cell>
        </row>
        <row r="124">
          <cell r="G124">
            <v>0</v>
          </cell>
        </row>
        <row r="125">
          <cell r="B125">
            <v>1268</v>
          </cell>
          <cell r="C125" t="str">
            <v>HY-IMT</v>
          </cell>
          <cell r="D125">
            <v>14000</v>
          </cell>
          <cell r="E125">
            <v>12500</v>
          </cell>
          <cell r="F125">
            <v>3000</v>
          </cell>
          <cell r="G125">
            <v>9500</v>
          </cell>
        </row>
        <row r="126">
          <cell r="B126">
            <v>1269</v>
          </cell>
          <cell r="C126" t="str">
            <v>HY-IMT</v>
          </cell>
          <cell r="D126">
            <v>14000</v>
          </cell>
          <cell r="E126">
            <v>12500</v>
          </cell>
          <cell r="F126">
            <v>3000</v>
          </cell>
          <cell r="G126">
            <v>9500</v>
          </cell>
        </row>
        <row r="127">
          <cell r="G127">
            <v>0</v>
          </cell>
        </row>
        <row r="128">
          <cell r="B128">
            <v>1262</v>
          </cell>
          <cell r="C128" t="str">
            <v>CO LGO</v>
          </cell>
          <cell r="D128">
            <v>7000</v>
          </cell>
          <cell r="E128">
            <v>6700</v>
          </cell>
          <cell r="F128">
            <v>1100</v>
          </cell>
          <cell r="G128">
            <v>5600</v>
          </cell>
        </row>
        <row r="129">
          <cell r="G129">
            <v>0</v>
          </cell>
        </row>
        <row r="130">
          <cell r="B130">
            <v>1851</v>
          </cell>
          <cell r="C130" t="str">
            <v>ME HVD</v>
          </cell>
          <cell r="D130">
            <v>14000</v>
          </cell>
          <cell r="E130">
            <v>12000</v>
          </cell>
          <cell r="F130">
            <v>1900</v>
          </cell>
          <cell r="G130">
            <v>10100</v>
          </cell>
        </row>
        <row r="131">
          <cell r="G131">
            <v>0</v>
          </cell>
        </row>
        <row r="132">
          <cell r="B132">
            <v>1857</v>
          </cell>
          <cell r="C132" t="str">
            <v>SL TC</v>
          </cell>
          <cell r="D132">
            <v>14000</v>
          </cell>
          <cell r="E132">
            <v>12600</v>
          </cell>
          <cell r="F132">
            <v>1700</v>
          </cell>
          <cell r="G132">
            <v>10900</v>
          </cell>
        </row>
        <row r="133">
          <cell r="B133">
            <v>1858</v>
          </cell>
          <cell r="C133" t="str">
            <v>SL TC</v>
          </cell>
          <cell r="D133">
            <v>14000</v>
          </cell>
          <cell r="E133">
            <v>12700</v>
          </cell>
          <cell r="F133">
            <v>1700</v>
          </cell>
          <cell r="G133">
            <v>11000</v>
          </cell>
        </row>
        <row r="134">
          <cell r="B134">
            <v>1867</v>
          </cell>
          <cell r="C134" t="str">
            <v>SL TC</v>
          </cell>
          <cell r="D134">
            <v>14000</v>
          </cell>
          <cell r="E134">
            <v>12700</v>
          </cell>
          <cell r="F134">
            <v>639</v>
          </cell>
          <cell r="G134">
            <v>12061</v>
          </cell>
        </row>
        <row r="135">
          <cell r="G135">
            <v>0</v>
          </cell>
        </row>
        <row r="136">
          <cell r="B136">
            <v>1955</v>
          </cell>
          <cell r="C136" t="str">
            <v>OS LS VR</v>
          </cell>
          <cell r="D136">
            <v>14000</v>
          </cell>
          <cell r="E136">
            <v>12600</v>
          </cell>
          <cell r="F136">
            <v>1600</v>
          </cell>
          <cell r="G136">
            <v>11000</v>
          </cell>
        </row>
        <row r="137">
          <cell r="G137">
            <v>0</v>
          </cell>
        </row>
        <row r="138">
          <cell r="B138">
            <v>1254</v>
          </cell>
          <cell r="C138" t="str">
            <v>COND</v>
          </cell>
          <cell r="D138">
            <v>2000</v>
          </cell>
          <cell r="E138">
            <v>1800</v>
          </cell>
          <cell r="F138">
            <v>202</v>
          </cell>
          <cell r="G138">
            <v>1598</v>
          </cell>
        </row>
        <row r="139">
          <cell r="G139">
            <v>0</v>
          </cell>
        </row>
        <row r="140">
          <cell r="B140">
            <v>1251</v>
          </cell>
          <cell r="C140" t="str">
            <v>Home Fuel</v>
          </cell>
          <cell r="D140">
            <v>3000</v>
          </cell>
          <cell r="E140">
            <v>2800</v>
          </cell>
          <cell r="F140">
            <v>1000</v>
          </cell>
          <cell r="G140">
            <v>1800</v>
          </cell>
        </row>
        <row r="141">
          <cell r="G141">
            <v>0</v>
          </cell>
        </row>
        <row r="142">
          <cell r="B142">
            <v>1951</v>
          </cell>
          <cell r="C142" t="str">
            <v>SL VR</v>
          </cell>
          <cell r="D142">
            <v>14000</v>
          </cell>
          <cell r="E142">
            <v>12400</v>
          </cell>
          <cell r="F142">
            <v>1600</v>
          </cell>
          <cell r="G142">
            <v>10800</v>
          </cell>
        </row>
        <row r="143">
          <cell r="G143">
            <v>0</v>
          </cell>
        </row>
        <row r="144">
          <cell r="B144">
            <v>1264</v>
          </cell>
          <cell r="C144" t="str">
            <v>SL LVD</v>
          </cell>
          <cell r="D144">
            <v>7000</v>
          </cell>
          <cell r="E144">
            <v>6600</v>
          </cell>
          <cell r="F144">
            <v>525</v>
          </cell>
          <cell r="G144">
            <v>6075</v>
          </cell>
        </row>
        <row r="145">
          <cell r="G145">
            <v>0</v>
          </cell>
        </row>
        <row r="146">
          <cell r="B146">
            <v>1673</v>
          </cell>
          <cell r="C146" t="str">
            <v>C15LP-R</v>
          </cell>
          <cell r="D146">
            <v>500</v>
          </cell>
          <cell r="E146">
            <v>430</v>
          </cell>
          <cell r="F146">
            <v>39</v>
          </cell>
          <cell r="G146">
            <v>391</v>
          </cell>
        </row>
        <row r="147">
          <cell r="B147">
            <v>1674</v>
          </cell>
          <cell r="C147" t="str">
            <v>C15LP-R</v>
          </cell>
          <cell r="D147">
            <v>300</v>
          </cell>
          <cell r="E147">
            <v>283</v>
          </cell>
          <cell r="F147">
            <v>38</v>
          </cell>
          <cell r="G147">
            <v>245</v>
          </cell>
        </row>
        <row r="148">
          <cell r="B148">
            <v>2051</v>
          </cell>
          <cell r="C148" t="str">
            <v>C15LP-R</v>
          </cell>
          <cell r="D148">
            <v>3000</v>
          </cell>
          <cell r="E148">
            <v>2800</v>
          </cell>
          <cell r="F148">
            <v>182</v>
          </cell>
          <cell r="G148">
            <v>2618</v>
          </cell>
        </row>
        <row r="149">
          <cell r="G149">
            <v>0</v>
          </cell>
        </row>
        <row r="150">
          <cell r="B150">
            <v>1853</v>
          </cell>
          <cell r="C150" t="str">
            <v>KF TC</v>
          </cell>
          <cell r="D150">
            <v>14000</v>
          </cell>
          <cell r="E150">
            <v>12700</v>
          </cell>
          <cell r="F150">
            <v>3200</v>
          </cell>
          <cell r="G150">
            <v>9500</v>
          </cell>
        </row>
        <row r="151">
          <cell r="B151">
            <v>1953</v>
          </cell>
          <cell r="C151" t="str">
            <v>KF TC</v>
          </cell>
          <cell r="D151">
            <v>14000</v>
          </cell>
          <cell r="E151">
            <v>12700</v>
          </cell>
          <cell r="F151">
            <v>3200</v>
          </cell>
          <cell r="G151">
            <v>9500</v>
          </cell>
        </row>
        <row r="152">
          <cell r="G152">
            <v>0</v>
          </cell>
        </row>
        <row r="153">
          <cell r="B153">
            <v>8</v>
          </cell>
          <cell r="C153" t="str">
            <v>ME TC</v>
          </cell>
          <cell r="D153">
            <v>30000</v>
          </cell>
          <cell r="E153">
            <v>29900</v>
          </cell>
          <cell r="F153">
            <v>5600</v>
          </cell>
          <cell r="G153">
            <v>24300</v>
          </cell>
        </row>
        <row r="154">
          <cell r="G154">
            <v>0</v>
          </cell>
        </row>
        <row r="155">
          <cell r="B155">
            <v>1952</v>
          </cell>
          <cell r="C155" t="str">
            <v>ME BVR</v>
          </cell>
          <cell r="D155">
            <v>14000</v>
          </cell>
          <cell r="E155">
            <v>12700</v>
          </cell>
          <cell r="F155">
            <v>799</v>
          </cell>
          <cell r="G155">
            <v>11901</v>
          </cell>
        </row>
        <row r="156">
          <cell r="B156">
            <v>1954</v>
          </cell>
          <cell r="C156" t="str">
            <v>ME BVR</v>
          </cell>
          <cell r="D156">
            <v>14000</v>
          </cell>
          <cell r="E156">
            <v>12700</v>
          </cell>
          <cell r="F156">
            <v>759</v>
          </cell>
          <cell r="G156">
            <v>11941</v>
          </cell>
        </row>
        <row r="157">
          <cell r="B157">
            <v>1956</v>
          </cell>
          <cell r="C157" t="str">
            <v>ME BVR</v>
          </cell>
          <cell r="D157">
            <v>14000</v>
          </cell>
          <cell r="E157">
            <v>12800</v>
          </cell>
          <cell r="F157">
            <v>647</v>
          </cell>
          <cell r="G157">
            <v>12153</v>
          </cell>
        </row>
        <row r="158">
          <cell r="B158">
            <v>1868</v>
          </cell>
          <cell r="C158" t="str">
            <v>ME BVR</v>
          </cell>
          <cell r="D158">
            <v>14000</v>
          </cell>
          <cell r="E158">
            <v>12700</v>
          </cell>
          <cell r="F158">
            <v>799</v>
          </cell>
          <cell r="G158">
            <v>11901</v>
          </cell>
        </row>
        <row r="159">
          <cell r="G159">
            <v>0</v>
          </cell>
        </row>
        <row r="160">
          <cell r="B160">
            <v>1678</v>
          </cell>
          <cell r="C160" t="str">
            <v>C26LP-R</v>
          </cell>
          <cell r="D160">
            <v>900</v>
          </cell>
          <cell r="E160">
            <v>800</v>
          </cell>
          <cell r="F160">
            <v>61</v>
          </cell>
          <cell r="G160">
            <v>739</v>
          </cell>
        </row>
        <row r="161">
          <cell r="B161">
            <v>1961</v>
          </cell>
          <cell r="C161" t="str">
            <v>C26LP-R</v>
          </cell>
          <cell r="D161">
            <v>14000</v>
          </cell>
          <cell r="E161">
            <v>12800</v>
          </cell>
          <cell r="F161">
            <v>735</v>
          </cell>
          <cell r="G161">
            <v>12065</v>
          </cell>
        </row>
        <row r="162">
          <cell r="G162">
            <v>0</v>
          </cell>
        </row>
        <row r="163">
          <cell r="B163">
            <v>1962</v>
          </cell>
          <cell r="C163" t="str">
            <v>IBF-180</v>
          </cell>
          <cell r="D163">
            <v>14000</v>
          </cell>
          <cell r="E163">
            <v>12900</v>
          </cell>
          <cell r="F163">
            <v>799</v>
          </cell>
          <cell r="G163">
            <v>12101</v>
          </cell>
        </row>
        <row r="164">
          <cell r="B164">
            <v>1963</v>
          </cell>
          <cell r="C164" t="str">
            <v>BUNKER FUEL</v>
          </cell>
          <cell r="D164">
            <v>14000</v>
          </cell>
          <cell r="E164">
            <v>12800</v>
          </cell>
          <cell r="F164">
            <v>655</v>
          </cell>
          <cell r="G164">
            <v>12145</v>
          </cell>
        </row>
        <row r="165">
          <cell r="G165">
            <v>0</v>
          </cell>
        </row>
        <row r="166">
          <cell r="B166">
            <v>1960</v>
          </cell>
          <cell r="C166" t="str">
            <v>Asphalt(60-80)</v>
          </cell>
          <cell r="D166">
            <v>14000</v>
          </cell>
          <cell r="E166">
            <v>12800</v>
          </cell>
          <cell r="F166">
            <v>803</v>
          </cell>
          <cell r="G166">
            <v>11997</v>
          </cell>
        </row>
        <row r="167">
          <cell r="B167">
            <v>2056</v>
          </cell>
          <cell r="C167" t="str">
            <v>Asphalt(60-80)</v>
          </cell>
          <cell r="D167">
            <v>3000</v>
          </cell>
          <cell r="E167">
            <v>2580</v>
          </cell>
          <cell r="F167">
            <v>219</v>
          </cell>
          <cell r="G167">
            <v>2361</v>
          </cell>
        </row>
        <row r="168">
          <cell r="G168">
            <v>0</v>
          </cell>
        </row>
        <row r="169">
          <cell r="B169">
            <v>2054</v>
          </cell>
          <cell r="C169" t="str">
            <v>Asphalt(85-100)</v>
          </cell>
          <cell r="D169">
            <v>3000</v>
          </cell>
          <cell r="E169">
            <v>2580</v>
          </cell>
          <cell r="F169">
            <v>230</v>
          </cell>
          <cell r="G169">
            <v>2350</v>
          </cell>
        </row>
        <row r="170">
          <cell r="B170">
            <v>2055</v>
          </cell>
          <cell r="C170" t="str">
            <v>Asphalt(85-100)</v>
          </cell>
          <cell r="D170">
            <v>3000</v>
          </cell>
          <cell r="E170">
            <v>2580</v>
          </cell>
          <cell r="F170">
            <v>230</v>
          </cell>
          <cell r="G170">
            <v>2350</v>
          </cell>
        </row>
        <row r="171">
          <cell r="G171">
            <v>0</v>
          </cell>
        </row>
        <row r="172">
          <cell r="B172">
            <v>704</v>
          </cell>
          <cell r="C172" t="str">
            <v>CLSL</v>
          </cell>
          <cell r="D172">
            <v>2000</v>
          </cell>
          <cell r="E172">
            <v>1860</v>
          </cell>
          <cell r="F172">
            <v>300</v>
          </cell>
          <cell r="G172">
            <v>1560</v>
          </cell>
        </row>
        <row r="173">
          <cell r="B173">
            <v>707</v>
          </cell>
          <cell r="C173" t="str">
            <v>CLSL</v>
          </cell>
          <cell r="D173">
            <v>2000</v>
          </cell>
          <cell r="E173">
            <v>1925</v>
          </cell>
          <cell r="F173">
            <v>335</v>
          </cell>
          <cell r="G173">
            <v>1590</v>
          </cell>
        </row>
        <row r="174">
          <cell r="B174">
            <v>1252</v>
          </cell>
          <cell r="C174" t="str">
            <v>CLSL</v>
          </cell>
          <cell r="D174">
            <v>3000</v>
          </cell>
          <cell r="E174">
            <v>2870</v>
          </cell>
          <cell r="F174">
            <v>310</v>
          </cell>
          <cell r="G174">
            <v>2560</v>
          </cell>
        </row>
        <row r="175">
          <cell r="B175">
            <v>1253</v>
          </cell>
          <cell r="C175" t="str">
            <v>CLSL</v>
          </cell>
          <cell r="D175">
            <v>3000</v>
          </cell>
          <cell r="E175">
            <v>2860</v>
          </cell>
          <cell r="F175">
            <v>310</v>
          </cell>
          <cell r="G175">
            <v>2550</v>
          </cell>
        </row>
        <row r="176">
          <cell r="B176">
            <v>1257</v>
          </cell>
          <cell r="C176" t="str">
            <v>CLSL</v>
          </cell>
          <cell r="D176">
            <v>7000</v>
          </cell>
          <cell r="E176">
            <v>6870</v>
          </cell>
          <cell r="F176">
            <v>615</v>
          </cell>
          <cell r="G176">
            <v>6255</v>
          </cell>
        </row>
        <row r="177">
          <cell r="B177">
            <v>1258</v>
          </cell>
          <cell r="C177" t="str">
            <v>CLSL</v>
          </cell>
          <cell r="D177">
            <v>7000</v>
          </cell>
          <cell r="E177">
            <v>6850</v>
          </cell>
          <cell r="F177">
            <v>615</v>
          </cell>
          <cell r="G177">
            <v>6235</v>
          </cell>
        </row>
        <row r="178">
          <cell r="B178">
            <v>1263</v>
          </cell>
          <cell r="C178" t="str">
            <v>CLSL</v>
          </cell>
          <cell r="D178">
            <v>7000</v>
          </cell>
          <cell r="E178">
            <v>6880</v>
          </cell>
          <cell r="F178">
            <v>500</v>
          </cell>
          <cell r="G178">
            <v>6380</v>
          </cell>
        </row>
        <row r="179">
          <cell r="B179">
            <v>1855</v>
          </cell>
          <cell r="C179" t="str">
            <v>CLSL</v>
          </cell>
          <cell r="D179">
            <v>14000</v>
          </cell>
          <cell r="E179">
            <v>13160</v>
          </cell>
          <cell r="F179">
            <v>1660</v>
          </cell>
          <cell r="G179">
            <v>11500</v>
          </cell>
        </row>
        <row r="180">
          <cell r="B180">
            <v>1856</v>
          </cell>
          <cell r="C180" t="str">
            <v>CLSL</v>
          </cell>
          <cell r="D180">
            <v>14000</v>
          </cell>
          <cell r="E180">
            <v>13230</v>
          </cell>
          <cell r="F180">
            <v>1690</v>
          </cell>
          <cell r="G180">
            <v>11540</v>
          </cell>
        </row>
        <row r="181">
          <cell r="G181">
            <v>0</v>
          </cell>
        </row>
        <row r="182">
          <cell r="B182">
            <v>1451</v>
          </cell>
          <cell r="C182" t="str">
            <v>SLOP</v>
          </cell>
          <cell r="D182">
            <v>300</v>
          </cell>
          <cell r="E182">
            <v>300</v>
          </cell>
          <cell r="F182">
            <v>45</v>
          </cell>
          <cell r="G182">
            <v>255</v>
          </cell>
        </row>
        <row r="183">
          <cell r="B183">
            <v>1390</v>
          </cell>
          <cell r="C183" t="str">
            <v>SLOP</v>
          </cell>
          <cell r="D183">
            <v>1000</v>
          </cell>
          <cell r="E183">
            <v>800</v>
          </cell>
          <cell r="F183">
            <v>111</v>
          </cell>
          <cell r="G183">
            <v>689</v>
          </cell>
        </row>
        <row r="184">
          <cell r="B184">
            <v>1391</v>
          </cell>
          <cell r="C184" t="str">
            <v>SLOP</v>
          </cell>
          <cell r="D184">
            <v>1000</v>
          </cell>
          <cell r="E184">
            <v>800</v>
          </cell>
          <cell r="F184">
            <v>110</v>
          </cell>
          <cell r="G184">
            <v>690</v>
          </cell>
        </row>
        <row r="185">
          <cell r="B185">
            <v>1358</v>
          </cell>
          <cell r="C185" t="str">
            <v>SLOP</v>
          </cell>
          <cell r="D185">
            <v>2500</v>
          </cell>
          <cell r="E185">
            <v>2500</v>
          </cell>
          <cell r="F185">
            <v>700</v>
          </cell>
          <cell r="G185">
            <v>1800</v>
          </cell>
        </row>
        <row r="186">
          <cell r="B186">
            <v>1964</v>
          </cell>
          <cell r="C186" t="str">
            <v>SLOP</v>
          </cell>
          <cell r="D186">
            <v>14000</v>
          </cell>
          <cell r="E186">
            <v>11800</v>
          </cell>
          <cell r="F186">
            <v>1103</v>
          </cell>
          <cell r="G186">
            <v>10697</v>
          </cell>
        </row>
        <row r="187">
          <cell r="G187">
            <v>0</v>
          </cell>
        </row>
      </sheetData>
      <sheetData sheetId="1" refreshError="1">
        <row r="2">
          <cell r="B2" t="str">
            <v>TANK No.</v>
          </cell>
          <cell r="D2" t="str">
            <v>Nominal Capacity   [kl]</v>
          </cell>
          <cell r="E2" t="str">
            <v>Avail Max Capacity  [kl]</v>
          </cell>
          <cell r="F2" t="str">
            <v>Dead Stock  [kl]</v>
          </cell>
          <cell r="G2" t="str">
            <v>Avail            [kl]</v>
          </cell>
        </row>
        <row r="3">
          <cell r="B3">
            <v>4</v>
          </cell>
          <cell r="C3" t="str">
            <v>ME Crude</v>
          </cell>
          <cell r="D3">
            <v>50000</v>
          </cell>
          <cell r="E3">
            <v>46500</v>
          </cell>
          <cell r="F3">
            <v>7800</v>
          </cell>
          <cell r="G3">
            <v>38700</v>
          </cell>
        </row>
        <row r="4">
          <cell r="B4">
            <v>13</v>
          </cell>
          <cell r="C4" t="str">
            <v>ME Crude</v>
          </cell>
          <cell r="D4">
            <v>74000</v>
          </cell>
          <cell r="E4">
            <v>68000</v>
          </cell>
          <cell r="F4">
            <v>11500</v>
          </cell>
          <cell r="G4">
            <v>56500</v>
          </cell>
        </row>
        <row r="5">
          <cell r="B5">
            <v>14</v>
          </cell>
          <cell r="C5" t="str">
            <v>ME Crude</v>
          </cell>
          <cell r="D5">
            <v>74000</v>
          </cell>
          <cell r="E5">
            <v>67800</v>
          </cell>
          <cell r="F5">
            <v>11400</v>
          </cell>
          <cell r="G5">
            <v>56400</v>
          </cell>
        </row>
        <row r="6">
          <cell r="G6" t="str">
            <v xml:space="preserve"> </v>
          </cell>
        </row>
        <row r="7">
          <cell r="D7">
            <v>198000</v>
          </cell>
          <cell r="E7">
            <v>182300</v>
          </cell>
          <cell r="F7">
            <v>30700</v>
          </cell>
          <cell r="G7">
            <v>151600</v>
          </cell>
        </row>
        <row r="8">
          <cell r="B8">
            <v>1</v>
          </cell>
          <cell r="C8" t="str">
            <v>LS Crude</v>
          </cell>
          <cell r="D8">
            <v>50000</v>
          </cell>
          <cell r="E8">
            <v>47551</v>
          </cell>
          <cell r="F8">
            <v>5709</v>
          </cell>
          <cell r="G8">
            <v>41842</v>
          </cell>
        </row>
        <row r="9">
          <cell r="B9">
            <v>2</v>
          </cell>
          <cell r="C9" t="str">
            <v>LS Crude</v>
          </cell>
          <cell r="D9">
            <v>50000</v>
          </cell>
          <cell r="E9">
            <v>45708</v>
          </cell>
          <cell r="F9">
            <v>5713</v>
          </cell>
          <cell r="G9">
            <v>39995</v>
          </cell>
        </row>
        <row r="10">
          <cell r="B10">
            <v>3</v>
          </cell>
          <cell r="C10" t="str">
            <v>LS Crude</v>
          </cell>
          <cell r="D10">
            <v>50000</v>
          </cell>
          <cell r="E10">
            <v>45753</v>
          </cell>
          <cell r="F10">
            <v>5641</v>
          </cell>
          <cell r="G10">
            <v>40112</v>
          </cell>
        </row>
        <row r="11">
          <cell r="B11">
            <v>11</v>
          </cell>
          <cell r="C11" t="str">
            <v>LS Crude</v>
          </cell>
          <cell r="D11">
            <v>74000</v>
          </cell>
          <cell r="E11">
            <v>67300</v>
          </cell>
          <cell r="F11">
            <v>11400</v>
          </cell>
          <cell r="G11">
            <v>55900</v>
          </cell>
        </row>
        <row r="12">
          <cell r="B12">
            <v>12</v>
          </cell>
          <cell r="C12" t="str">
            <v>LS Crude</v>
          </cell>
          <cell r="D12">
            <v>74000</v>
          </cell>
          <cell r="E12">
            <v>67000</v>
          </cell>
          <cell r="F12">
            <v>8600</v>
          </cell>
          <cell r="G12">
            <v>58400</v>
          </cell>
        </row>
        <row r="13">
          <cell r="D13">
            <v>298000</v>
          </cell>
          <cell r="E13">
            <v>273312</v>
          </cell>
          <cell r="F13">
            <v>37063</v>
          </cell>
          <cell r="G13">
            <v>236249</v>
          </cell>
        </row>
        <row r="14">
          <cell r="B14">
            <v>21</v>
          </cell>
          <cell r="C14" t="str">
            <v>KOKUBI</v>
          </cell>
          <cell r="D14">
            <v>74000</v>
          </cell>
          <cell r="E14">
            <v>69166</v>
          </cell>
          <cell r="F14">
            <v>8189</v>
          </cell>
          <cell r="G14">
            <v>60977</v>
          </cell>
        </row>
        <row r="15">
          <cell r="B15">
            <v>151</v>
          </cell>
          <cell r="C15" t="str">
            <v>ME-LSR</v>
          </cell>
          <cell r="D15">
            <v>7000</v>
          </cell>
          <cell r="E15">
            <v>7117</v>
          </cell>
          <cell r="F15">
            <v>814</v>
          </cell>
          <cell r="G15">
            <v>6303</v>
          </cell>
        </row>
        <row r="17">
          <cell r="B17">
            <v>152</v>
          </cell>
          <cell r="C17" t="str">
            <v>LS-LSR</v>
          </cell>
          <cell r="D17">
            <v>7000</v>
          </cell>
          <cell r="E17">
            <v>7087</v>
          </cell>
          <cell r="F17">
            <v>808</v>
          </cell>
          <cell r="G17">
            <v>6279</v>
          </cell>
        </row>
        <row r="19">
          <cell r="B19">
            <v>206</v>
          </cell>
          <cell r="C19" t="str">
            <v>ME-HSR</v>
          </cell>
          <cell r="D19">
            <v>14000</v>
          </cell>
          <cell r="E19">
            <v>13070</v>
          </cell>
          <cell r="F19">
            <v>1850</v>
          </cell>
          <cell r="G19">
            <v>11220</v>
          </cell>
        </row>
        <row r="21">
          <cell r="B21">
            <v>204</v>
          </cell>
          <cell r="C21" t="str">
            <v>LS-HSR</v>
          </cell>
          <cell r="D21">
            <v>14000</v>
          </cell>
          <cell r="E21">
            <v>13656</v>
          </cell>
          <cell r="F21">
            <v>1897</v>
          </cell>
          <cell r="G21">
            <v>11759</v>
          </cell>
        </row>
        <row r="23">
          <cell r="B23">
            <v>157</v>
          </cell>
          <cell r="C23" t="str">
            <v>NH-LSR</v>
          </cell>
          <cell r="D23">
            <v>7000</v>
          </cell>
          <cell r="E23">
            <v>7084</v>
          </cell>
          <cell r="F23">
            <v>783</v>
          </cell>
          <cell r="G23">
            <v>6301</v>
          </cell>
        </row>
        <row r="25">
          <cell r="B25">
            <v>205</v>
          </cell>
          <cell r="C25" t="str">
            <v>Raffinate</v>
          </cell>
          <cell r="D25">
            <v>14000</v>
          </cell>
          <cell r="E25">
            <v>13051</v>
          </cell>
          <cell r="F25">
            <v>1523</v>
          </cell>
          <cell r="G25">
            <v>11528</v>
          </cell>
        </row>
        <row r="27">
          <cell r="B27">
            <v>358</v>
          </cell>
          <cell r="C27" t="str">
            <v>OPC-NAPH</v>
          </cell>
          <cell r="D27">
            <v>25000</v>
          </cell>
          <cell r="E27">
            <v>24498</v>
          </cell>
          <cell r="F27">
            <v>2844</v>
          </cell>
          <cell r="G27">
            <v>21654</v>
          </cell>
        </row>
        <row r="29">
          <cell r="B29">
            <v>158</v>
          </cell>
          <cell r="C29" t="str">
            <v>ALKYLATE</v>
          </cell>
          <cell r="D29">
            <v>7000</v>
          </cell>
          <cell r="E29">
            <v>7145</v>
          </cell>
          <cell r="F29">
            <v>823</v>
          </cell>
          <cell r="G29">
            <v>6322</v>
          </cell>
        </row>
        <row r="32">
          <cell r="B32">
            <v>169</v>
          </cell>
          <cell r="C32" t="str">
            <v>C9 AROMA</v>
          </cell>
          <cell r="D32">
            <v>2000</v>
          </cell>
          <cell r="E32">
            <v>1961</v>
          </cell>
          <cell r="F32">
            <v>345</v>
          </cell>
          <cell r="G32">
            <v>1616</v>
          </cell>
        </row>
        <row r="34">
          <cell r="B34">
            <v>203</v>
          </cell>
          <cell r="C34" t="str">
            <v>RAW BZ</v>
          </cell>
          <cell r="D34">
            <v>14000</v>
          </cell>
          <cell r="E34">
            <v>13348</v>
          </cell>
          <cell r="F34">
            <v>1909</v>
          </cell>
          <cell r="G34">
            <v>11439</v>
          </cell>
        </row>
        <row r="36">
          <cell r="B36">
            <v>201</v>
          </cell>
          <cell r="C36" t="str">
            <v>TOLUENE</v>
          </cell>
          <cell r="D36">
            <v>14000</v>
          </cell>
          <cell r="E36">
            <v>13247</v>
          </cell>
          <cell r="F36">
            <v>1553</v>
          </cell>
          <cell r="G36">
            <v>11694</v>
          </cell>
        </row>
        <row r="38">
          <cell r="B38">
            <v>159</v>
          </cell>
          <cell r="C38" t="str">
            <v>XYLENE</v>
          </cell>
          <cell r="D38">
            <v>3000</v>
          </cell>
          <cell r="E38">
            <v>2875</v>
          </cell>
          <cell r="F38">
            <v>403</v>
          </cell>
          <cell r="G38">
            <v>2472</v>
          </cell>
        </row>
        <row r="39">
          <cell r="B39">
            <v>163</v>
          </cell>
          <cell r="C39" t="str">
            <v>XYLENE</v>
          </cell>
          <cell r="D39">
            <v>3000</v>
          </cell>
          <cell r="E39">
            <v>2903</v>
          </cell>
          <cell r="F39">
            <v>411</v>
          </cell>
          <cell r="G39">
            <v>2492</v>
          </cell>
        </row>
        <row r="41">
          <cell r="B41">
            <v>313</v>
          </cell>
          <cell r="C41" t="str">
            <v>FCC Lt Gasoline</v>
          </cell>
          <cell r="D41">
            <v>7000</v>
          </cell>
          <cell r="E41">
            <v>6927</v>
          </cell>
          <cell r="F41">
            <v>801</v>
          </cell>
          <cell r="G41">
            <v>6126</v>
          </cell>
        </row>
        <row r="42">
          <cell r="B42">
            <v>167</v>
          </cell>
          <cell r="C42" t="str">
            <v>FCC Lt Gasoline</v>
          </cell>
          <cell r="D42">
            <v>2000</v>
          </cell>
          <cell r="E42">
            <v>1785</v>
          </cell>
          <cell r="F42">
            <v>450</v>
          </cell>
          <cell r="G42">
            <v>1335</v>
          </cell>
        </row>
        <row r="44">
          <cell r="B44">
            <v>207</v>
          </cell>
          <cell r="C44" t="str">
            <v>FCC Gasoline</v>
          </cell>
          <cell r="D44">
            <v>14000</v>
          </cell>
          <cell r="E44">
            <v>13390</v>
          </cell>
          <cell r="F44">
            <v>1414</v>
          </cell>
          <cell r="G44">
            <v>11976</v>
          </cell>
        </row>
        <row r="45">
          <cell r="B45">
            <v>155</v>
          </cell>
          <cell r="C45" t="str">
            <v>FCC Gasoline</v>
          </cell>
          <cell r="D45">
            <v>7000</v>
          </cell>
          <cell r="E45">
            <v>7153</v>
          </cell>
          <cell r="F45">
            <v>838</v>
          </cell>
          <cell r="G45">
            <v>6315</v>
          </cell>
        </row>
        <row r="47">
          <cell r="B47">
            <v>360</v>
          </cell>
          <cell r="C47" t="str">
            <v>Gasoline(EXP)</v>
          </cell>
          <cell r="D47">
            <v>25000</v>
          </cell>
          <cell r="E47">
            <v>24537</v>
          </cell>
          <cell r="F47">
            <v>3067</v>
          </cell>
          <cell r="G47">
            <v>21470</v>
          </cell>
        </row>
        <row r="50">
          <cell r="B50">
            <v>153</v>
          </cell>
          <cell r="C50" t="str">
            <v>Dash Gasoline</v>
          </cell>
          <cell r="D50">
            <v>7000</v>
          </cell>
          <cell r="E50">
            <v>7150</v>
          </cell>
          <cell r="F50">
            <v>814</v>
          </cell>
          <cell r="G50">
            <v>6336</v>
          </cell>
        </row>
        <row r="51">
          <cell r="B51">
            <v>154</v>
          </cell>
          <cell r="C51" t="str">
            <v>Dash Gasoline</v>
          </cell>
          <cell r="D51">
            <v>7000</v>
          </cell>
          <cell r="E51">
            <v>7134</v>
          </cell>
          <cell r="F51">
            <v>810</v>
          </cell>
          <cell r="G51">
            <v>6324</v>
          </cell>
        </row>
        <row r="53">
          <cell r="B53">
            <v>160</v>
          </cell>
          <cell r="C53" t="str">
            <v>Dash Racer</v>
          </cell>
          <cell r="D53">
            <v>3000</v>
          </cell>
          <cell r="E53">
            <v>2902</v>
          </cell>
          <cell r="F53">
            <v>411</v>
          </cell>
          <cell r="G53">
            <v>2491</v>
          </cell>
        </row>
        <row r="54">
          <cell r="B54">
            <v>162</v>
          </cell>
          <cell r="C54" t="str">
            <v>Dash Racer</v>
          </cell>
          <cell r="D54">
            <v>3000</v>
          </cell>
          <cell r="E54">
            <v>2905</v>
          </cell>
          <cell r="F54">
            <v>413</v>
          </cell>
          <cell r="G54">
            <v>2492</v>
          </cell>
        </row>
        <row r="55">
          <cell r="B55">
            <v>166</v>
          </cell>
          <cell r="C55" t="str">
            <v>Dash Racer</v>
          </cell>
          <cell r="D55">
            <v>2000</v>
          </cell>
          <cell r="E55">
            <v>1916</v>
          </cell>
          <cell r="F55">
            <v>344</v>
          </cell>
          <cell r="G55">
            <v>1572</v>
          </cell>
        </row>
        <row r="57">
          <cell r="B57">
            <v>359</v>
          </cell>
          <cell r="C57" t="str">
            <v>Raw Kerosene</v>
          </cell>
          <cell r="D57">
            <v>25000</v>
          </cell>
          <cell r="E57">
            <v>24588</v>
          </cell>
          <cell r="F57">
            <v>3079</v>
          </cell>
          <cell r="G57">
            <v>21509</v>
          </cell>
        </row>
        <row r="59">
          <cell r="B59">
            <v>202</v>
          </cell>
          <cell r="C59" t="str">
            <v>1-Kerosene</v>
          </cell>
          <cell r="D59">
            <v>14000</v>
          </cell>
          <cell r="E59">
            <v>13297</v>
          </cell>
          <cell r="F59">
            <v>1549</v>
          </cell>
          <cell r="G59">
            <v>11748</v>
          </cell>
        </row>
        <row r="60">
          <cell r="B60">
            <v>356</v>
          </cell>
          <cell r="C60" t="str">
            <v>1-Kerosene</v>
          </cell>
          <cell r="D60">
            <v>25000</v>
          </cell>
          <cell r="E60">
            <v>24629</v>
          </cell>
          <cell r="F60">
            <v>3104</v>
          </cell>
          <cell r="G60">
            <v>21525</v>
          </cell>
        </row>
        <row r="62">
          <cell r="B62">
            <v>251</v>
          </cell>
          <cell r="C62" t="str">
            <v>ME Gas Oil</v>
          </cell>
          <cell r="D62">
            <v>14000</v>
          </cell>
          <cell r="E62">
            <v>13262</v>
          </cell>
          <cell r="F62">
            <v>1526</v>
          </cell>
          <cell r="G62">
            <v>11736</v>
          </cell>
        </row>
        <row r="63">
          <cell r="B63">
            <v>258</v>
          </cell>
          <cell r="C63" t="str">
            <v>ME Gas Oil</v>
          </cell>
          <cell r="D63">
            <v>14000</v>
          </cell>
          <cell r="E63">
            <v>13245</v>
          </cell>
          <cell r="F63">
            <v>1512</v>
          </cell>
          <cell r="G63">
            <v>11733</v>
          </cell>
        </row>
        <row r="65">
          <cell r="B65">
            <v>252</v>
          </cell>
          <cell r="C65" t="str">
            <v>LS Gas Oil</v>
          </cell>
          <cell r="D65">
            <v>14000</v>
          </cell>
          <cell r="E65">
            <v>13269</v>
          </cell>
          <cell r="F65">
            <v>1527</v>
          </cell>
          <cell r="G65">
            <v>11742</v>
          </cell>
        </row>
        <row r="66">
          <cell r="B66">
            <v>253</v>
          </cell>
          <cell r="C66" t="str">
            <v>LS Gas Oil</v>
          </cell>
          <cell r="D66">
            <v>14000</v>
          </cell>
          <cell r="E66">
            <v>13239</v>
          </cell>
          <cell r="F66">
            <v>1504</v>
          </cell>
          <cell r="G66">
            <v>11735</v>
          </cell>
        </row>
        <row r="67">
          <cell r="B67">
            <v>257</v>
          </cell>
          <cell r="C67" t="str">
            <v>LS Gas Oil</v>
          </cell>
          <cell r="D67">
            <v>14000</v>
          </cell>
          <cell r="E67">
            <v>13266</v>
          </cell>
          <cell r="F67">
            <v>1529</v>
          </cell>
          <cell r="G67">
            <v>11737</v>
          </cell>
        </row>
        <row r="69">
          <cell r="B69">
            <v>405</v>
          </cell>
          <cell r="C69" t="str">
            <v>HNT Gas Oil</v>
          </cell>
          <cell r="D69">
            <v>14276</v>
          </cell>
          <cell r="E69">
            <v>13275</v>
          </cell>
          <cell r="F69">
            <v>1534</v>
          </cell>
          <cell r="G69">
            <v>11741</v>
          </cell>
        </row>
        <row r="70">
          <cell r="B70">
            <v>406</v>
          </cell>
          <cell r="C70" t="str">
            <v>HNT Gas Oil</v>
          </cell>
          <cell r="D70">
            <v>14300</v>
          </cell>
          <cell r="E70">
            <v>13290</v>
          </cell>
          <cell r="F70">
            <v>1547</v>
          </cell>
          <cell r="G70">
            <v>11743</v>
          </cell>
        </row>
        <row r="71">
          <cell r="B71">
            <v>23</v>
          </cell>
          <cell r="C71" t="str">
            <v>HNT Gas Oil</v>
          </cell>
          <cell r="D71">
            <v>50000</v>
          </cell>
          <cell r="E71">
            <v>47451</v>
          </cell>
          <cell r="F71">
            <v>5548</v>
          </cell>
          <cell r="G71">
            <v>41903</v>
          </cell>
        </row>
        <row r="73">
          <cell r="B73">
            <v>303</v>
          </cell>
          <cell r="C73" t="str">
            <v>LT-IMT</v>
          </cell>
          <cell r="D73">
            <v>7000</v>
          </cell>
          <cell r="E73">
            <v>7162</v>
          </cell>
          <cell r="F73">
            <v>788</v>
          </cell>
          <cell r="G73">
            <v>6374</v>
          </cell>
        </row>
        <row r="75">
          <cell r="B75">
            <v>161</v>
          </cell>
          <cell r="C75" t="str">
            <v>DGO</v>
          </cell>
          <cell r="D75">
            <v>3000</v>
          </cell>
          <cell r="E75">
            <v>3007</v>
          </cell>
          <cell r="F75">
            <v>401</v>
          </cell>
          <cell r="G75">
            <v>2606</v>
          </cell>
        </row>
        <row r="76">
          <cell r="B76">
            <v>164</v>
          </cell>
          <cell r="C76" t="str">
            <v>DGO</v>
          </cell>
          <cell r="D76">
            <v>3000</v>
          </cell>
          <cell r="E76">
            <v>3014</v>
          </cell>
          <cell r="F76">
            <v>408</v>
          </cell>
          <cell r="G76">
            <v>2606</v>
          </cell>
        </row>
        <row r="77">
          <cell r="B77">
            <v>170</v>
          </cell>
          <cell r="C77" t="str">
            <v>DGO</v>
          </cell>
          <cell r="D77">
            <v>2000</v>
          </cell>
          <cell r="E77">
            <v>2042</v>
          </cell>
          <cell r="F77">
            <v>331</v>
          </cell>
          <cell r="G77">
            <v>1711</v>
          </cell>
        </row>
        <row r="78">
          <cell r="B78">
            <v>172</v>
          </cell>
          <cell r="C78" t="str">
            <v>DGO</v>
          </cell>
          <cell r="D78">
            <v>2000</v>
          </cell>
          <cell r="E78">
            <v>2058</v>
          </cell>
          <cell r="F78">
            <v>346</v>
          </cell>
          <cell r="G78">
            <v>1712</v>
          </cell>
        </row>
        <row r="79">
          <cell r="B79">
            <v>173</v>
          </cell>
          <cell r="C79" t="str">
            <v>DGO</v>
          </cell>
          <cell r="D79">
            <v>2000</v>
          </cell>
          <cell r="E79">
            <v>2054</v>
          </cell>
          <cell r="F79">
            <v>342</v>
          </cell>
          <cell r="G79">
            <v>1712</v>
          </cell>
        </row>
        <row r="80">
          <cell r="B80">
            <v>176</v>
          </cell>
          <cell r="C80" t="str">
            <v>DGO</v>
          </cell>
          <cell r="D80">
            <v>2000</v>
          </cell>
          <cell r="E80">
            <v>2058</v>
          </cell>
          <cell r="F80">
            <v>346</v>
          </cell>
          <cell r="G80">
            <v>1712</v>
          </cell>
        </row>
        <row r="82">
          <cell r="B82">
            <v>312</v>
          </cell>
          <cell r="C82" t="str">
            <v>ME LVD</v>
          </cell>
          <cell r="D82">
            <v>7000</v>
          </cell>
          <cell r="E82">
            <v>7114</v>
          </cell>
          <cell r="F82">
            <v>796</v>
          </cell>
          <cell r="G82">
            <v>6318</v>
          </cell>
        </row>
        <row r="84">
          <cell r="B84">
            <v>306</v>
          </cell>
          <cell r="C84" t="str">
            <v>LS LVD</v>
          </cell>
          <cell r="D84">
            <v>7000</v>
          </cell>
          <cell r="E84">
            <v>7107</v>
          </cell>
          <cell r="F84">
            <v>772</v>
          </cell>
          <cell r="G84">
            <v>6335</v>
          </cell>
        </row>
        <row r="86">
          <cell r="B86">
            <v>301</v>
          </cell>
          <cell r="C86" t="str">
            <v>LCO</v>
          </cell>
          <cell r="D86">
            <v>7000</v>
          </cell>
          <cell r="E86">
            <v>7151</v>
          </cell>
          <cell r="F86">
            <v>700</v>
          </cell>
          <cell r="G86">
            <v>6451</v>
          </cell>
        </row>
        <row r="87">
          <cell r="B87">
            <v>302</v>
          </cell>
          <cell r="C87" t="str">
            <v>LCO</v>
          </cell>
          <cell r="D87">
            <v>7000</v>
          </cell>
          <cell r="E87">
            <v>7148</v>
          </cell>
          <cell r="F87">
            <v>787</v>
          </cell>
          <cell r="G87">
            <v>6361</v>
          </cell>
        </row>
        <row r="88">
          <cell r="B88">
            <v>304</v>
          </cell>
          <cell r="C88" t="str">
            <v>LCO</v>
          </cell>
          <cell r="D88">
            <v>7000</v>
          </cell>
          <cell r="E88">
            <v>7096</v>
          </cell>
          <cell r="F88">
            <v>802</v>
          </cell>
          <cell r="G88">
            <v>6294</v>
          </cell>
        </row>
        <row r="90">
          <cell r="B90">
            <v>308</v>
          </cell>
          <cell r="C90" t="str">
            <v>FOA</v>
          </cell>
          <cell r="D90">
            <v>7000</v>
          </cell>
          <cell r="E90">
            <v>7101</v>
          </cell>
          <cell r="F90">
            <v>794</v>
          </cell>
          <cell r="G90">
            <v>6307</v>
          </cell>
        </row>
        <row r="92">
          <cell r="B92">
            <v>261</v>
          </cell>
          <cell r="C92" t="str">
            <v>AC YH</v>
          </cell>
          <cell r="D92">
            <v>3000</v>
          </cell>
          <cell r="E92">
            <v>2912</v>
          </cell>
          <cell r="F92">
            <v>352</v>
          </cell>
          <cell r="G92">
            <v>2560</v>
          </cell>
        </row>
        <row r="94">
          <cell r="B94">
            <v>174</v>
          </cell>
          <cell r="C94" t="str">
            <v>AC SP</v>
          </cell>
          <cell r="D94">
            <v>2000</v>
          </cell>
          <cell r="E94">
            <v>2055</v>
          </cell>
          <cell r="F94">
            <v>343</v>
          </cell>
          <cell r="G94">
            <v>1712</v>
          </cell>
        </row>
        <row r="96">
          <cell r="B96">
            <v>355</v>
          </cell>
          <cell r="C96" t="str">
            <v>HY IMT</v>
          </cell>
          <cell r="D96">
            <v>25000</v>
          </cell>
          <cell r="E96">
            <v>24678</v>
          </cell>
          <cell r="F96">
            <v>3080</v>
          </cell>
          <cell r="G96">
            <v>21598</v>
          </cell>
        </row>
        <row r="98">
          <cell r="B98">
            <v>354</v>
          </cell>
          <cell r="C98" t="str">
            <v>LS HVD</v>
          </cell>
          <cell r="D98">
            <v>25000</v>
          </cell>
          <cell r="E98">
            <v>24392</v>
          </cell>
          <cell r="F98">
            <v>2827</v>
          </cell>
          <cell r="G98">
            <v>21565</v>
          </cell>
        </row>
        <row r="100">
          <cell r="B100">
            <v>402</v>
          </cell>
          <cell r="C100" t="str">
            <v>ME TC</v>
          </cell>
          <cell r="D100">
            <v>14000</v>
          </cell>
          <cell r="E100">
            <v>13271</v>
          </cell>
          <cell r="F100">
            <v>1498</v>
          </cell>
          <cell r="G100">
            <v>11773</v>
          </cell>
        </row>
        <row r="102">
          <cell r="B102">
            <v>351</v>
          </cell>
          <cell r="C102" t="str">
            <v>LS TC</v>
          </cell>
          <cell r="D102">
            <v>25000</v>
          </cell>
          <cell r="E102">
            <v>24676</v>
          </cell>
          <cell r="F102">
            <v>2917</v>
          </cell>
          <cell r="G102">
            <v>21759</v>
          </cell>
        </row>
        <row r="104">
          <cell r="B104">
            <v>255</v>
          </cell>
          <cell r="C104" t="str">
            <v>LS VR</v>
          </cell>
          <cell r="D104">
            <v>14000</v>
          </cell>
          <cell r="E104">
            <v>13267</v>
          </cell>
          <cell r="F104">
            <v>1529</v>
          </cell>
          <cell r="G104">
            <v>11738</v>
          </cell>
        </row>
        <row r="105">
          <cell r="B105">
            <v>256</v>
          </cell>
          <cell r="C105" t="str">
            <v>LS VR</v>
          </cell>
          <cell r="D105">
            <v>14000</v>
          </cell>
          <cell r="E105">
            <v>13272</v>
          </cell>
          <cell r="F105">
            <v>1532</v>
          </cell>
          <cell r="G105">
            <v>11740</v>
          </cell>
        </row>
        <row r="106">
          <cell r="B106">
            <v>254</v>
          </cell>
          <cell r="C106" t="str">
            <v>LS VR</v>
          </cell>
          <cell r="D106">
            <v>14000</v>
          </cell>
          <cell r="E106">
            <v>13255</v>
          </cell>
          <cell r="F106">
            <v>1512</v>
          </cell>
          <cell r="G106">
            <v>11743</v>
          </cell>
        </row>
        <row r="108">
          <cell r="B108">
            <v>352</v>
          </cell>
          <cell r="C108" t="str">
            <v>ME HVD</v>
          </cell>
          <cell r="D108">
            <v>25000</v>
          </cell>
          <cell r="E108">
            <v>24513</v>
          </cell>
          <cell r="F108">
            <v>2883</v>
          </cell>
          <cell r="G108">
            <v>21630</v>
          </cell>
        </row>
        <row r="110">
          <cell r="B110">
            <v>403</v>
          </cell>
          <cell r="C110" t="str">
            <v>ME BVR</v>
          </cell>
          <cell r="D110">
            <v>14000</v>
          </cell>
          <cell r="E110">
            <v>13312</v>
          </cell>
          <cell r="F110">
            <v>1561</v>
          </cell>
          <cell r="G110">
            <v>11751</v>
          </cell>
        </row>
        <row r="111">
          <cell r="B111">
            <v>404</v>
          </cell>
          <cell r="C111" t="str">
            <v>ME BVR</v>
          </cell>
          <cell r="D111">
            <v>14000</v>
          </cell>
          <cell r="E111">
            <v>13302</v>
          </cell>
          <cell r="F111">
            <v>1570</v>
          </cell>
          <cell r="G111">
            <v>11732</v>
          </cell>
        </row>
        <row r="113">
          <cell r="B113">
            <v>171</v>
          </cell>
          <cell r="C113" t="str">
            <v>C15LPR</v>
          </cell>
          <cell r="D113">
            <v>2000</v>
          </cell>
          <cell r="E113">
            <v>2057</v>
          </cell>
          <cell r="F113">
            <v>346</v>
          </cell>
          <cell r="G113">
            <v>1711</v>
          </cell>
        </row>
        <row r="115">
          <cell r="B115">
            <v>353</v>
          </cell>
          <cell r="C115" t="str">
            <v>IBF-180</v>
          </cell>
          <cell r="D115">
            <v>25000</v>
          </cell>
          <cell r="E115">
            <v>24653</v>
          </cell>
          <cell r="F115">
            <v>2894</v>
          </cell>
          <cell r="G115">
            <v>21759</v>
          </cell>
        </row>
        <row r="117">
          <cell r="B117">
            <v>175</v>
          </cell>
          <cell r="C117" t="str">
            <v>BUNKER FUEL</v>
          </cell>
          <cell r="D117">
            <v>2000</v>
          </cell>
          <cell r="E117">
            <v>2060</v>
          </cell>
          <cell r="F117">
            <v>351</v>
          </cell>
          <cell r="G117">
            <v>1709</v>
          </cell>
        </row>
        <row r="118">
          <cell r="B118">
            <v>262</v>
          </cell>
          <cell r="C118" t="str">
            <v>BUNKER FUEL</v>
          </cell>
          <cell r="D118">
            <v>3000</v>
          </cell>
          <cell r="E118">
            <v>2909</v>
          </cell>
          <cell r="F118">
            <v>348</v>
          </cell>
          <cell r="G118">
            <v>2561</v>
          </cell>
        </row>
        <row r="120">
          <cell r="B120">
            <v>305</v>
          </cell>
          <cell r="C120" t="str">
            <v>ASPHALT</v>
          </cell>
          <cell r="D120">
            <v>7000</v>
          </cell>
          <cell r="E120">
            <v>5965</v>
          </cell>
          <cell r="F120">
            <v>783</v>
          </cell>
          <cell r="G120">
            <v>5182</v>
          </cell>
        </row>
        <row r="121">
          <cell r="B121">
            <v>307</v>
          </cell>
          <cell r="C121" t="str">
            <v>ASPHALT</v>
          </cell>
          <cell r="D121">
            <v>7000</v>
          </cell>
          <cell r="E121">
            <v>7108</v>
          </cell>
          <cell r="F121">
            <v>790</v>
          </cell>
          <cell r="G121">
            <v>6318</v>
          </cell>
        </row>
        <row r="123">
          <cell r="B123">
            <v>309</v>
          </cell>
          <cell r="C123" t="str">
            <v>ME HGO</v>
          </cell>
          <cell r="D123">
            <v>7000</v>
          </cell>
          <cell r="E123">
            <v>7107</v>
          </cell>
          <cell r="F123">
            <v>785</v>
          </cell>
          <cell r="G123">
            <v>6322</v>
          </cell>
        </row>
        <row r="124">
          <cell r="B124">
            <v>310</v>
          </cell>
          <cell r="C124" t="str">
            <v>HCO</v>
          </cell>
          <cell r="D124">
            <v>7000</v>
          </cell>
          <cell r="E124">
            <v>7116</v>
          </cell>
          <cell r="F124">
            <v>795</v>
          </cell>
          <cell r="G124">
            <v>6321</v>
          </cell>
        </row>
        <row r="126">
          <cell r="B126">
            <v>401</v>
          </cell>
          <cell r="C126" t="str">
            <v>HS FOC</v>
          </cell>
          <cell r="D126">
            <v>14000</v>
          </cell>
          <cell r="E126">
            <v>13277</v>
          </cell>
          <cell r="F126">
            <v>1525</v>
          </cell>
          <cell r="G126">
            <v>11752</v>
          </cell>
        </row>
        <row r="128">
          <cell r="B128">
            <v>259</v>
          </cell>
          <cell r="C128" t="str">
            <v>SPEC OFF</v>
          </cell>
          <cell r="D128">
            <v>3000</v>
          </cell>
          <cell r="E128">
            <v>2496</v>
          </cell>
          <cell r="F128">
            <v>351</v>
          </cell>
          <cell r="G128">
            <v>2145</v>
          </cell>
        </row>
        <row r="129">
          <cell r="B129">
            <v>260</v>
          </cell>
          <cell r="C129" t="str">
            <v>SPEC OFF</v>
          </cell>
          <cell r="D129">
            <v>3000</v>
          </cell>
          <cell r="E129">
            <v>2909</v>
          </cell>
          <cell r="F129">
            <v>348</v>
          </cell>
          <cell r="G129">
            <v>2561</v>
          </cell>
        </row>
        <row r="131">
          <cell r="B131">
            <v>266</v>
          </cell>
          <cell r="C131" t="str">
            <v>SLOP</v>
          </cell>
          <cell r="D131">
            <v>3000</v>
          </cell>
          <cell r="E131">
            <v>2447</v>
          </cell>
          <cell r="F131">
            <v>343</v>
          </cell>
          <cell r="G131">
            <v>2104</v>
          </cell>
        </row>
        <row r="132">
          <cell r="B132">
            <v>311</v>
          </cell>
          <cell r="C132" t="str">
            <v>SLOP</v>
          </cell>
          <cell r="D132">
            <v>7000</v>
          </cell>
          <cell r="E132">
            <v>6599</v>
          </cell>
          <cell r="F132">
            <v>797</v>
          </cell>
          <cell r="G132">
            <v>5802</v>
          </cell>
        </row>
      </sheetData>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保全費予算（大阪）"/>
      <sheetName val="保全費見直し結果概要（大阪）"/>
      <sheetName val="グラフ＆データ"/>
      <sheetName val="T&amp;I - タンク"/>
      <sheetName val="更新リスク分析(OS W PG)"/>
      <sheetName val="更新リスク分析(OS WOPG)"/>
      <sheetName val="===&gt; Back Data"/>
      <sheetName val="更新投資一覧"/>
      <sheetName val="Master 更新集計 1994-2005"/>
      <sheetName val="大阪 静止機器開放率"/>
      <sheetName val="保情タンク"/>
      <sheetName val="=&gt; 詳細データ"/>
      <sheetName val="分析シート"/>
      <sheetName val="更新集計94"/>
      <sheetName val="更新集計95"/>
      <sheetName val="更新集計96"/>
      <sheetName val="入力(更新投資97)"/>
      <sheetName val="入力(更新集計98)"/>
      <sheetName val="入力(更新投資99)"/>
      <sheetName val="入力(更新投資00)"/>
      <sheetName val="入力（更新投資01-04）"/>
      <sheetName val="入力(更新投資05)"/>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
          <cell r="V8" t="str">
            <v>TA関係</v>
          </cell>
        </row>
        <row r="15">
          <cell r="V15">
            <v>1</v>
          </cell>
        </row>
        <row r="18">
          <cell r="V18">
            <v>1</v>
          </cell>
        </row>
        <row r="25">
          <cell r="V25">
            <v>1</v>
          </cell>
        </row>
        <row r="27">
          <cell r="V27">
            <v>1</v>
          </cell>
        </row>
        <row r="35">
          <cell r="V35">
            <v>1</v>
          </cell>
        </row>
        <row r="36">
          <cell r="V36">
            <v>1</v>
          </cell>
        </row>
        <row r="42">
          <cell r="V42">
            <v>1</v>
          </cell>
        </row>
        <row r="45">
          <cell r="V45">
            <v>1</v>
          </cell>
        </row>
        <row r="46">
          <cell r="V46">
            <v>1</v>
          </cell>
        </row>
        <row r="56">
          <cell r="V56">
            <v>1</v>
          </cell>
        </row>
        <row r="72">
          <cell r="V72">
            <v>1</v>
          </cell>
        </row>
        <row r="91">
          <cell r="V91">
            <v>1</v>
          </cell>
        </row>
        <row r="159">
          <cell r="V159">
            <v>1</v>
          </cell>
        </row>
        <row r="164">
          <cell r="V164">
            <v>1</v>
          </cell>
        </row>
        <row r="193">
          <cell r="V193">
            <v>1</v>
          </cell>
        </row>
        <row r="197">
          <cell r="V197">
            <v>1</v>
          </cell>
        </row>
        <row r="199">
          <cell r="V199">
            <v>1</v>
          </cell>
        </row>
        <row r="208">
          <cell r="V208">
            <v>1</v>
          </cell>
        </row>
        <row r="209">
          <cell r="V209">
            <v>1</v>
          </cell>
        </row>
        <row r="212">
          <cell r="V212">
            <v>1</v>
          </cell>
        </row>
        <row r="214">
          <cell r="V214">
            <v>1</v>
          </cell>
        </row>
        <row r="218">
          <cell r="V218">
            <v>1</v>
          </cell>
        </row>
        <row r="220">
          <cell r="V220">
            <v>1</v>
          </cell>
        </row>
        <row r="224">
          <cell r="V224">
            <v>1</v>
          </cell>
        </row>
        <row r="225">
          <cell r="V225">
            <v>1</v>
          </cell>
        </row>
        <row r="228">
          <cell r="V228">
            <v>1</v>
          </cell>
        </row>
        <row r="230">
          <cell r="V230">
            <v>1</v>
          </cell>
        </row>
        <row r="233">
          <cell r="V233">
            <v>1</v>
          </cell>
        </row>
        <row r="236">
          <cell r="V236">
            <v>1</v>
          </cell>
        </row>
      </sheetData>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グラフ2"/>
      <sheetName val="数量"/>
      <sheetName val="IPP 数量"/>
      <sheetName val="面ｸﾞﾗﾌ"/>
    </sheetNames>
    <sheetDataSet>
      <sheetData sheetId="0"/>
      <sheetData sheetId="1">
        <row r="7">
          <cell r="E7">
            <v>0</v>
          </cell>
          <cell r="AC7">
            <v>36.779333333333334</v>
          </cell>
        </row>
        <row r="8">
          <cell r="E8">
            <v>0</v>
          </cell>
          <cell r="AC8">
            <v>36.048666666666669</v>
          </cell>
        </row>
        <row r="9">
          <cell r="E9">
            <v>0</v>
          </cell>
          <cell r="AC9">
            <v>35.318000000000005</v>
          </cell>
        </row>
        <row r="10">
          <cell r="E10">
            <v>0</v>
          </cell>
          <cell r="AC10">
            <v>34.587333333333341</v>
          </cell>
        </row>
        <row r="11">
          <cell r="E11">
            <v>0</v>
          </cell>
          <cell r="AC11">
            <v>33.856666666666676</v>
          </cell>
        </row>
        <row r="12">
          <cell r="E12">
            <v>0</v>
          </cell>
          <cell r="AC12">
            <v>33.126000000000012</v>
          </cell>
        </row>
        <row r="13">
          <cell r="E13">
            <v>0</v>
          </cell>
          <cell r="AC13">
            <v>32.395333333333348</v>
          </cell>
        </row>
        <row r="14">
          <cell r="E14">
            <v>0</v>
          </cell>
          <cell r="AC14">
            <v>31.66466666666668</v>
          </cell>
        </row>
        <row r="15">
          <cell r="E15">
            <v>0</v>
          </cell>
          <cell r="AC15">
            <v>30.934000000000012</v>
          </cell>
        </row>
        <row r="16">
          <cell r="E16">
            <v>0</v>
          </cell>
          <cell r="AC16">
            <v>30.203333333333344</v>
          </cell>
        </row>
        <row r="17">
          <cell r="E17">
            <v>0</v>
          </cell>
          <cell r="AC17">
            <v>29.472666666666676</v>
          </cell>
        </row>
        <row r="18">
          <cell r="E18">
            <v>0</v>
          </cell>
          <cell r="AC18">
            <v>28.742000000000008</v>
          </cell>
        </row>
        <row r="19">
          <cell r="E19">
            <v>0</v>
          </cell>
          <cell r="AC19">
            <v>28.01133333333334</v>
          </cell>
        </row>
        <row r="20">
          <cell r="E20">
            <v>0</v>
          </cell>
          <cell r="AC20">
            <v>27.280666666666672</v>
          </cell>
        </row>
        <row r="21">
          <cell r="E21">
            <v>0</v>
          </cell>
          <cell r="AC21">
            <v>26.550000000000004</v>
          </cell>
        </row>
        <row r="22">
          <cell r="E22">
            <v>0</v>
          </cell>
          <cell r="AC22">
            <v>25.819333333333336</v>
          </cell>
        </row>
        <row r="23">
          <cell r="E23">
            <v>0</v>
          </cell>
          <cell r="AC23">
            <v>25.088666666666668</v>
          </cell>
        </row>
        <row r="24">
          <cell r="E24">
            <v>0</v>
          </cell>
          <cell r="AC24">
            <v>24.358000000000001</v>
          </cell>
        </row>
        <row r="25">
          <cell r="E25">
            <v>0</v>
          </cell>
          <cell r="AC25">
            <v>23.627333333333333</v>
          </cell>
        </row>
        <row r="26">
          <cell r="E26">
            <v>0</v>
          </cell>
          <cell r="AC26">
            <v>44.716666666666669</v>
          </cell>
        </row>
        <row r="27">
          <cell r="E27">
            <v>0</v>
          </cell>
          <cell r="AC27">
            <v>43.986000000000004</v>
          </cell>
        </row>
        <row r="28">
          <cell r="E28">
            <v>0</v>
          </cell>
          <cell r="AC28">
            <v>43.25533333333334</v>
          </cell>
        </row>
        <row r="29">
          <cell r="E29">
            <v>0</v>
          </cell>
          <cell r="AC29">
            <v>42.524666666666675</v>
          </cell>
        </row>
        <row r="30">
          <cell r="E30">
            <v>0</v>
          </cell>
          <cell r="AC30">
            <v>41.794000000000011</v>
          </cell>
        </row>
        <row r="31">
          <cell r="E31">
            <v>0</v>
          </cell>
          <cell r="AC31">
            <v>41.063333333333347</v>
          </cell>
        </row>
        <row r="32">
          <cell r="E32">
            <v>0</v>
          </cell>
          <cell r="AC32">
            <v>40.332666666666682</v>
          </cell>
        </row>
        <row r="33">
          <cell r="E33">
            <v>0</v>
          </cell>
          <cell r="AC33">
            <v>39.602000000000018</v>
          </cell>
        </row>
        <row r="34">
          <cell r="E34">
            <v>0</v>
          </cell>
          <cell r="AC34">
            <v>38.871333333333354</v>
          </cell>
        </row>
        <row r="35">
          <cell r="E35">
            <v>0</v>
          </cell>
          <cell r="AC35">
            <v>38.140666666666689</v>
          </cell>
        </row>
        <row r="36">
          <cell r="E36">
            <v>0</v>
          </cell>
          <cell r="AC36">
            <v>37.410000000000025</v>
          </cell>
        </row>
        <row r="37">
          <cell r="E37">
            <v>0</v>
          </cell>
          <cell r="AC37">
            <v>36.677096774193572</v>
          </cell>
        </row>
        <row r="38">
          <cell r="E38">
            <v>0</v>
          </cell>
          <cell r="AC38">
            <v>35.944193548387119</v>
          </cell>
        </row>
        <row r="39">
          <cell r="E39">
            <v>0</v>
          </cell>
          <cell r="AC39">
            <v>35.211290322580666</v>
          </cell>
        </row>
        <row r="40">
          <cell r="E40">
            <v>0</v>
          </cell>
          <cell r="AC40">
            <v>34.478387096774213</v>
          </cell>
        </row>
        <row r="41">
          <cell r="E41">
            <v>0</v>
          </cell>
          <cell r="AC41">
            <v>33.74548387096776</v>
          </cell>
        </row>
        <row r="42">
          <cell r="E42">
            <v>0</v>
          </cell>
          <cell r="AC42">
            <v>33.012580645161307</v>
          </cell>
        </row>
        <row r="43">
          <cell r="E43">
            <v>0</v>
          </cell>
          <cell r="AC43">
            <v>32.279677419354854</v>
          </cell>
        </row>
        <row r="44">
          <cell r="E44">
            <v>0</v>
          </cell>
          <cell r="AC44">
            <v>31.546774193548401</v>
          </cell>
        </row>
        <row r="45">
          <cell r="E45">
            <v>0</v>
          </cell>
          <cell r="AC45">
            <v>30.813870967741948</v>
          </cell>
        </row>
        <row r="46">
          <cell r="E46">
            <v>0</v>
          </cell>
          <cell r="AC46">
            <v>30.080967741935495</v>
          </cell>
        </row>
        <row r="47">
          <cell r="E47">
            <v>0</v>
          </cell>
          <cell r="AC47">
            <v>29.348064516129043</v>
          </cell>
        </row>
        <row r="48">
          <cell r="E48">
            <v>0</v>
          </cell>
          <cell r="AC48">
            <v>28.61516129032259</v>
          </cell>
        </row>
        <row r="49">
          <cell r="E49">
            <v>0</v>
          </cell>
          <cell r="AC49">
            <v>27.882258064516137</v>
          </cell>
        </row>
        <row r="50">
          <cell r="E50">
            <v>0</v>
          </cell>
          <cell r="AC50">
            <v>27.149354838709684</v>
          </cell>
        </row>
        <row r="51">
          <cell r="E51">
            <v>0</v>
          </cell>
          <cell r="AC51">
            <v>26.416451612903231</v>
          </cell>
        </row>
        <row r="52">
          <cell r="E52">
            <v>0</v>
          </cell>
          <cell r="AC52">
            <v>25.683548387096778</v>
          </cell>
        </row>
        <row r="53">
          <cell r="E53">
            <v>0</v>
          </cell>
          <cell r="AC53">
            <v>24.950645161290325</v>
          </cell>
        </row>
        <row r="54">
          <cell r="E54">
            <v>0</v>
          </cell>
          <cell r="AC54">
            <v>24.217741935483872</v>
          </cell>
        </row>
        <row r="55">
          <cell r="E55">
            <v>0</v>
          </cell>
          <cell r="AC55">
            <v>23.484838709677419</v>
          </cell>
        </row>
        <row r="56">
          <cell r="E56">
            <v>0</v>
          </cell>
          <cell r="AC56">
            <v>22.751935483870966</v>
          </cell>
        </row>
        <row r="57">
          <cell r="E57">
            <v>0</v>
          </cell>
          <cell r="AC57">
            <v>22.019032258064513</v>
          </cell>
        </row>
        <row r="58">
          <cell r="E58">
            <v>0</v>
          </cell>
          <cell r="AC58">
            <v>21.28612903225806</v>
          </cell>
        </row>
        <row r="59">
          <cell r="E59">
            <v>0</v>
          </cell>
          <cell r="AC59">
            <v>20.553225806451607</v>
          </cell>
        </row>
        <row r="60">
          <cell r="E60">
            <v>0</v>
          </cell>
          <cell r="AC60">
            <v>19.820322580645154</v>
          </cell>
        </row>
        <row r="61">
          <cell r="E61">
            <v>0</v>
          </cell>
          <cell r="AC61">
            <v>19.087419354838701</v>
          </cell>
        </row>
        <row r="62">
          <cell r="E62">
            <v>0</v>
          </cell>
          <cell r="AC62">
            <v>18.354516129032248</v>
          </cell>
        </row>
        <row r="63">
          <cell r="E63">
            <v>0</v>
          </cell>
          <cell r="AC63">
            <v>17.621612903225795</v>
          </cell>
        </row>
        <row r="64">
          <cell r="E64">
            <v>0</v>
          </cell>
          <cell r="AC64">
            <v>16.888709677419342</v>
          </cell>
        </row>
        <row r="65">
          <cell r="E65">
            <v>0</v>
          </cell>
          <cell r="AC65">
            <v>16.155806451612889</v>
          </cell>
        </row>
        <row r="66">
          <cell r="E66">
            <v>0</v>
          </cell>
          <cell r="AC66">
            <v>15.422903225806438</v>
          </cell>
        </row>
        <row r="67">
          <cell r="E67">
            <v>0</v>
          </cell>
          <cell r="AC67">
            <v>14.689999999999987</v>
          </cell>
        </row>
        <row r="68">
          <cell r="E68">
            <v>0</v>
          </cell>
          <cell r="AC68">
            <v>13.877999999999988</v>
          </cell>
        </row>
        <row r="69">
          <cell r="E69">
            <v>0</v>
          </cell>
          <cell r="AC69">
            <v>13.065999999999988</v>
          </cell>
        </row>
        <row r="70">
          <cell r="E70">
            <v>0</v>
          </cell>
          <cell r="AC70">
            <v>35.883999999999986</v>
          </cell>
        </row>
        <row r="71">
          <cell r="E71">
            <v>0</v>
          </cell>
          <cell r="AC71">
            <v>35.071999999999989</v>
          </cell>
        </row>
        <row r="72">
          <cell r="E72">
            <v>0</v>
          </cell>
          <cell r="AC72">
            <v>34.259999999999991</v>
          </cell>
        </row>
        <row r="73">
          <cell r="E73">
            <v>0</v>
          </cell>
          <cell r="AC73">
            <v>33.447999999999993</v>
          </cell>
        </row>
        <row r="74">
          <cell r="E74">
            <v>0</v>
          </cell>
          <cell r="AC74">
            <v>32.635999999999996</v>
          </cell>
        </row>
        <row r="75">
          <cell r="E75">
            <v>0</v>
          </cell>
          <cell r="AC75">
            <v>31.823999999999995</v>
          </cell>
        </row>
        <row r="76">
          <cell r="E76">
            <v>0</v>
          </cell>
          <cell r="AC76">
            <v>31.011999999999993</v>
          </cell>
        </row>
        <row r="77">
          <cell r="E77">
            <v>0</v>
          </cell>
          <cell r="AC77">
            <v>30.199999999999992</v>
          </cell>
        </row>
        <row r="78">
          <cell r="E78">
            <v>0</v>
          </cell>
          <cell r="AC78">
            <v>29.387999999999991</v>
          </cell>
        </row>
        <row r="79">
          <cell r="E79">
            <v>0</v>
          </cell>
          <cell r="AC79">
            <v>28.57599999999999</v>
          </cell>
        </row>
        <row r="80">
          <cell r="E80">
            <v>0</v>
          </cell>
          <cell r="AC80">
            <v>27.763999999999989</v>
          </cell>
        </row>
        <row r="81">
          <cell r="E81">
            <v>0</v>
          </cell>
          <cell r="AC81">
            <v>26.951999999999988</v>
          </cell>
        </row>
        <row r="82">
          <cell r="E82">
            <v>0</v>
          </cell>
          <cell r="AC82">
            <v>26.139999999999986</v>
          </cell>
        </row>
        <row r="83">
          <cell r="E83">
            <v>0</v>
          </cell>
          <cell r="AC83">
            <v>25.327999999999985</v>
          </cell>
        </row>
        <row r="84">
          <cell r="E84">
            <v>0</v>
          </cell>
          <cell r="AC84">
            <v>24.515999999999984</v>
          </cell>
        </row>
        <row r="85">
          <cell r="E85">
            <v>0</v>
          </cell>
          <cell r="AC85">
            <v>23.703999999999983</v>
          </cell>
        </row>
        <row r="86">
          <cell r="E86">
            <v>0</v>
          </cell>
          <cell r="AC86">
            <v>22.891999999999982</v>
          </cell>
        </row>
        <row r="87">
          <cell r="E87">
            <v>0</v>
          </cell>
          <cell r="AC87">
            <v>22.079999999999981</v>
          </cell>
        </row>
        <row r="88">
          <cell r="E88">
            <v>0</v>
          </cell>
          <cell r="AC88">
            <v>21.267999999999979</v>
          </cell>
        </row>
        <row r="89">
          <cell r="E89">
            <v>0</v>
          </cell>
          <cell r="AC89">
            <v>20.455999999999978</v>
          </cell>
        </row>
        <row r="90">
          <cell r="E90">
            <v>0</v>
          </cell>
          <cell r="AC90">
            <v>19.643999999999977</v>
          </cell>
        </row>
        <row r="91">
          <cell r="E91">
            <v>0</v>
          </cell>
          <cell r="AC91">
            <v>18.831999999999976</v>
          </cell>
        </row>
        <row r="92">
          <cell r="E92">
            <v>0</v>
          </cell>
          <cell r="AC92">
            <v>18.019999999999975</v>
          </cell>
        </row>
        <row r="93">
          <cell r="E93">
            <v>0</v>
          </cell>
          <cell r="AC93">
            <v>17.207999999999974</v>
          </cell>
        </row>
        <row r="94">
          <cell r="E94">
            <v>0</v>
          </cell>
          <cell r="AC94">
            <v>16.395999999999972</v>
          </cell>
        </row>
        <row r="95">
          <cell r="E95">
            <v>0</v>
          </cell>
          <cell r="AC95">
            <v>15.583999999999973</v>
          </cell>
        </row>
        <row r="96">
          <cell r="AC96">
            <v>14.771999999999974</v>
          </cell>
        </row>
        <row r="97">
          <cell r="E97">
            <v>0</v>
          </cell>
          <cell r="AC97">
            <v>13.959999999999974</v>
          </cell>
        </row>
        <row r="98">
          <cell r="E98">
            <v>0</v>
          </cell>
          <cell r="AC98">
            <v>48.669999999999973</v>
          </cell>
        </row>
        <row r="99">
          <cell r="E99">
            <v>0</v>
          </cell>
          <cell r="AC99">
            <v>48.009999999999977</v>
          </cell>
        </row>
        <row r="100">
          <cell r="E100">
            <v>0</v>
          </cell>
          <cell r="AC100">
            <v>47.34999999999998</v>
          </cell>
        </row>
        <row r="101">
          <cell r="E101">
            <v>0</v>
          </cell>
          <cell r="AC101">
            <v>46.689999999999984</v>
          </cell>
        </row>
        <row r="102">
          <cell r="E102">
            <v>0</v>
          </cell>
          <cell r="AC102">
            <v>46.029999999999987</v>
          </cell>
        </row>
        <row r="103">
          <cell r="E103">
            <v>0</v>
          </cell>
          <cell r="AC103">
            <v>45.36999999999999</v>
          </cell>
        </row>
        <row r="104">
          <cell r="E104">
            <v>0</v>
          </cell>
          <cell r="AC104">
            <v>45.36999999999999</v>
          </cell>
        </row>
        <row r="105">
          <cell r="E105">
            <v>0</v>
          </cell>
          <cell r="AC105">
            <v>45.36999999999999</v>
          </cell>
        </row>
        <row r="106">
          <cell r="E106">
            <v>0</v>
          </cell>
          <cell r="AC106">
            <v>45.36999999999999</v>
          </cell>
        </row>
        <row r="107">
          <cell r="E107">
            <v>0</v>
          </cell>
          <cell r="AC107">
            <v>45.36999999999999</v>
          </cell>
        </row>
        <row r="108">
          <cell r="E108">
            <v>0</v>
          </cell>
          <cell r="AC108">
            <v>45.36999999999999</v>
          </cell>
        </row>
        <row r="109">
          <cell r="E109">
            <v>0</v>
          </cell>
          <cell r="AC109">
            <v>44.49199999999999</v>
          </cell>
        </row>
        <row r="110">
          <cell r="E110">
            <v>0</v>
          </cell>
          <cell r="AC110">
            <v>43.61399999999999</v>
          </cell>
        </row>
        <row r="111">
          <cell r="E111">
            <v>0</v>
          </cell>
          <cell r="AC111">
            <v>42.73599999999999</v>
          </cell>
        </row>
        <row r="112">
          <cell r="E112">
            <v>0</v>
          </cell>
          <cell r="AC112">
            <v>41.85799999999999</v>
          </cell>
        </row>
        <row r="113">
          <cell r="E113">
            <v>0</v>
          </cell>
          <cell r="AC113">
            <v>40.97999999999999</v>
          </cell>
        </row>
        <row r="114">
          <cell r="E114">
            <v>0</v>
          </cell>
          <cell r="AC114">
            <v>40.10199999999999</v>
          </cell>
        </row>
        <row r="115">
          <cell r="E115">
            <v>0</v>
          </cell>
          <cell r="AC115">
            <v>39.22399999999999</v>
          </cell>
        </row>
        <row r="116">
          <cell r="E116">
            <v>0</v>
          </cell>
          <cell r="AC116">
            <v>38.345999999999989</v>
          </cell>
        </row>
        <row r="117">
          <cell r="E117">
            <v>0</v>
          </cell>
          <cell r="AC117">
            <v>37.467999999999989</v>
          </cell>
        </row>
        <row r="118">
          <cell r="E118">
            <v>0</v>
          </cell>
          <cell r="AC118">
            <v>36.589999999999989</v>
          </cell>
        </row>
        <row r="119">
          <cell r="E119">
            <v>0</v>
          </cell>
          <cell r="AC119">
            <v>35.711999999999989</v>
          </cell>
        </row>
        <row r="120">
          <cell r="E120">
            <v>0</v>
          </cell>
          <cell r="AC120">
            <v>67.553999999999988</v>
          </cell>
        </row>
        <row r="121">
          <cell r="E121">
            <v>0</v>
          </cell>
          <cell r="AC121">
            <v>66.675999999999988</v>
          </cell>
        </row>
        <row r="122">
          <cell r="E122">
            <v>0</v>
          </cell>
          <cell r="AC122">
            <v>65.797999999999988</v>
          </cell>
        </row>
        <row r="123">
          <cell r="E123">
            <v>0</v>
          </cell>
          <cell r="AC123">
            <v>64.919999999999987</v>
          </cell>
        </row>
        <row r="124">
          <cell r="E124">
            <v>0</v>
          </cell>
          <cell r="AC124">
            <v>64.041999999999987</v>
          </cell>
        </row>
        <row r="125">
          <cell r="E125">
            <v>0</v>
          </cell>
          <cell r="AC125">
            <v>63.163999999999987</v>
          </cell>
        </row>
        <row r="126">
          <cell r="E126">
            <v>0</v>
          </cell>
          <cell r="AC126">
            <v>62.285999999999987</v>
          </cell>
        </row>
        <row r="127">
          <cell r="E127">
            <v>0</v>
          </cell>
          <cell r="AC127">
            <v>61.407999999999987</v>
          </cell>
        </row>
        <row r="128">
          <cell r="E128">
            <v>0</v>
          </cell>
          <cell r="AC128">
            <v>60.529999999999987</v>
          </cell>
        </row>
        <row r="129">
          <cell r="E129">
            <v>0</v>
          </cell>
          <cell r="AC129">
            <v>59.562580645161276</v>
          </cell>
        </row>
        <row r="130">
          <cell r="E130">
            <v>0</v>
          </cell>
          <cell r="AC130">
            <v>58.595161290322565</v>
          </cell>
        </row>
        <row r="131">
          <cell r="E131">
            <v>0</v>
          </cell>
          <cell r="AC131">
            <v>57.627741935483854</v>
          </cell>
        </row>
        <row r="132">
          <cell r="E132">
            <v>0</v>
          </cell>
          <cell r="AC132">
            <v>56.660322580645143</v>
          </cell>
        </row>
        <row r="133">
          <cell r="E133">
            <v>0</v>
          </cell>
          <cell r="AC133">
            <v>55.692903225806432</v>
          </cell>
        </row>
        <row r="134">
          <cell r="E134">
            <v>0</v>
          </cell>
          <cell r="AC134">
            <v>54.725483870967722</v>
          </cell>
        </row>
        <row r="135">
          <cell r="E135">
            <v>0</v>
          </cell>
          <cell r="AC135">
            <v>53.758064516129011</v>
          </cell>
        </row>
        <row r="136">
          <cell r="E136">
            <v>0</v>
          </cell>
          <cell r="AC136">
            <v>52.7906451612903</v>
          </cell>
        </row>
        <row r="137">
          <cell r="E137">
            <v>0</v>
          </cell>
          <cell r="AC137">
            <v>51.823225806451589</v>
          </cell>
        </row>
        <row r="138">
          <cell r="E138">
            <v>0</v>
          </cell>
          <cell r="AC138">
            <v>50.855806451612878</v>
          </cell>
        </row>
        <row r="139">
          <cell r="E139">
            <v>0</v>
          </cell>
          <cell r="AC139">
            <v>49.888387096774167</v>
          </cell>
        </row>
        <row r="140">
          <cell r="E140">
            <v>0</v>
          </cell>
          <cell r="AC140">
            <v>48.920967741935456</v>
          </cell>
        </row>
        <row r="141">
          <cell r="E141">
            <v>0</v>
          </cell>
          <cell r="AC141">
            <v>47.953548387096745</v>
          </cell>
        </row>
        <row r="142">
          <cell r="E142">
            <v>0</v>
          </cell>
          <cell r="AC142">
            <v>46.986129032258034</v>
          </cell>
        </row>
        <row r="143">
          <cell r="E143">
            <v>0</v>
          </cell>
          <cell r="AC143">
            <v>46.018709677419324</v>
          </cell>
        </row>
        <row r="144">
          <cell r="E144">
            <v>0</v>
          </cell>
          <cell r="AC144">
            <v>45.051290322580613</v>
          </cell>
        </row>
        <row r="145">
          <cell r="E145">
            <v>0</v>
          </cell>
          <cell r="AC145">
            <v>44.083870967741902</v>
          </cell>
        </row>
        <row r="146">
          <cell r="E146">
            <v>0</v>
          </cell>
          <cell r="AC146">
            <v>43.116451612903191</v>
          </cell>
        </row>
        <row r="147">
          <cell r="E147">
            <v>0</v>
          </cell>
          <cell r="AC147">
            <v>42.14903225806448</v>
          </cell>
        </row>
        <row r="148">
          <cell r="E148">
            <v>0</v>
          </cell>
          <cell r="AC148">
            <v>41.181612903225769</v>
          </cell>
        </row>
        <row r="149">
          <cell r="E149">
            <v>0</v>
          </cell>
          <cell r="AC149">
            <v>40.214193548387058</v>
          </cell>
        </row>
        <row r="150">
          <cell r="E150">
            <v>0</v>
          </cell>
          <cell r="AC150">
            <v>39.246774193548347</v>
          </cell>
        </row>
        <row r="151">
          <cell r="E151">
            <v>0</v>
          </cell>
          <cell r="AC151">
            <v>38.279354838709637</v>
          </cell>
        </row>
        <row r="152">
          <cell r="E152">
            <v>0</v>
          </cell>
          <cell r="AC152">
            <v>37.311935483870926</v>
          </cell>
        </row>
        <row r="153">
          <cell r="E153">
            <v>0</v>
          </cell>
          <cell r="AC153">
            <v>36.344516129032215</v>
          </cell>
        </row>
        <row r="154">
          <cell r="E154">
            <v>0</v>
          </cell>
          <cell r="AC154">
            <v>35.377096774193504</v>
          </cell>
        </row>
        <row r="155">
          <cell r="E155">
            <v>0</v>
          </cell>
          <cell r="AC155">
            <v>34.409677419354793</v>
          </cell>
        </row>
        <row r="156">
          <cell r="E156">
            <v>0</v>
          </cell>
          <cell r="AC156">
            <v>33.442258064516082</v>
          </cell>
        </row>
        <row r="157">
          <cell r="E157">
            <v>0</v>
          </cell>
          <cell r="AC157">
            <v>32.474838709677371</v>
          </cell>
        </row>
        <row r="158">
          <cell r="E158">
            <v>0</v>
          </cell>
          <cell r="AC158">
            <v>31.50741935483866</v>
          </cell>
        </row>
        <row r="159">
          <cell r="E159">
            <v>0</v>
          </cell>
          <cell r="AC159">
            <v>30.539999999999949</v>
          </cell>
        </row>
        <row r="160">
          <cell r="E160">
            <v>0</v>
          </cell>
          <cell r="AC160">
            <v>29.562999999999949</v>
          </cell>
        </row>
        <row r="161">
          <cell r="E161">
            <v>0</v>
          </cell>
          <cell r="AC161">
            <v>28.585999999999949</v>
          </cell>
        </row>
        <row r="162">
          <cell r="E162">
            <v>0</v>
          </cell>
          <cell r="AC162">
            <v>27.608999999999948</v>
          </cell>
        </row>
        <row r="163">
          <cell r="E163">
            <v>0</v>
          </cell>
          <cell r="AC163">
            <v>26.631999999999948</v>
          </cell>
        </row>
        <row r="164">
          <cell r="E164">
            <v>0</v>
          </cell>
          <cell r="AC164">
            <v>25.654999999999948</v>
          </cell>
        </row>
        <row r="165">
          <cell r="E165">
            <v>0</v>
          </cell>
          <cell r="AC165">
            <v>24.677999999999948</v>
          </cell>
        </row>
        <row r="166">
          <cell r="E166">
            <v>0</v>
          </cell>
          <cell r="AC166">
            <v>23.700999999999947</v>
          </cell>
        </row>
        <row r="167">
          <cell r="E167">
            <v>0</v>
          </cell>
          <cell r="AC167">
            <v>46.353999999999949</v>
          </cell>
        </row>
        <row r="168">
          <cell r="E168">
            <v>0</v>
          </cell>
          <cell r="AC168">
            <v>45.376999999999953</v>
          </cell>
        </row>
        <row r="169">
          <cell r="E169">
            <v>0</v>
          </cell>
          <cell r="AC169">
            <v>44.399999999999956</v>
          </cell>
        </row>
        <row r="170">
          <cell r="E170">
            <v>0</v>
          </cell>
          <cell r="AC170">
            <v>43.422999999999959</v>
          </cell>
        </row>
        <row r="171">
          <cell r="E171">
            <v>0</v>
          </cell>
          <cell r="AC171">
            <v>42.445999999999962</v>
          </cell>
        </row>
        <row r="172">
          <cell r="E172">
            <v>0</v>
          </cell>
          <cell r="AC172">
            <v>41.468999999999966</v>
          </cell>
        </row>
        <row r="173">
          <cell r="E173">
            <v>0</v>
          </cell>
          <cell r="AC173">
            <v>40.491999999999969</v>
          </cell>
        </row>
        <row r="174">
          <cell r="E174">
            <v>0</v>
          </cell>
          <cell r="AC174">
            <v>39.514999999999972</v>
          </cell>
        </row>
        <row r="175">
          <cell r="E175">
            <v>0</v>
          </cell>
          <cell r="AC175">
            <v>38.537999999999975</v>
          </cell>
        </row>
        <row r="176">
          <cell r="E176">
            <v>0</v>
          </cell>
          <cell r="AC176">
            <v>37.560999999999979</v>
          </cell>
        </row>
        <row r="177">
          <cell r="E177">
            <v>0</v>
          </cell>
          <cell r="AC177">
            <v>36.583999999999982</v>
          </cell>
        </row>
        <row r="178">
          <cell r="E178">
            <v>0</v>
          </cell>
          <cell r="AC178">
            <v>35.606999999999985</v>
          </cell>
        </row>
        <row r="179">
          <cell r="E179">
            <v>0</v>
          </cell>
          <cell r="AC179">
            <v>34.629999999999988</v>
          </cell>
        </row>
        <row r="180">
          <cell r="E180">
            <v>0</v>
          </cell>
          <cell r="AC180">
            <v>33.652999999999992</v>
          </cell>
        </row>
        <row r="181">
          <cell r="E181">
            <v>0</v>
          </cell>
          <cell r="AC181">
            <v>32.675999999999995</v>
          </cell>
        </row>
        <row r="182">
          <cell r="E182">
            <v>0</v>
          </cell>
          <cell r="AC182">
            <v>31.698999999999995</v>
          </cell>
        </row>
        <row r="183">
          <cell r="E183">
            <v>0</v>
          </cell>
          <cell r="AC183">
            <v>30.721999999999994</v>
          </cell>
        </row>
        <row r="184">
          <cell r="E184">
            <v>0</v>
          </cell>
          <cell r="AC184">
            <v>29.744999999999994</v>
          </cell>
        </row>
        <row r="185">
          <cell r="E185">
            <v>0</v>
          </cell>
          <cell r="AC185">
            <v>28.767999999999994</v>
          </cell>
        </row>
        <row r="186">
          <cell r="E186">
            <v>0</v>
          </cell>
          <cell r="AC186">
            <v>27.790999999999993</v>
          </cell>
        </row>
        <row r="187">
          <cell r="E187">
            <v>0</v>
          </cell>
          <cell r="AC187">
            <v>26.813999999999993</v>
          </cell>
        </row>
        <row r="188">
          <cell r="E188">
            <v>0</v>
          </cell>
          <cell r="AC188">
            <v>25.836999999999993</v>
          </cell>
        </row>
        <row r="189">
          <cell r="E189">
            <v>0</v>
          </cell>
          <cell r="AC189">
            <v>24.859999999999992</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手帳資料"/>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Sep"/>
      <sheetName val="Oct"/>
      <sheetName val="Nov"/>
      <sheetName val="Dec"/>
      <sheetName val="Jan"/>
      <sheetName val="Feb"/>
      <sheetName val="Mar"/>
      <sheetName val="Apr"/>
      <sheetName val="May"/>
      <sheetName val="June"/>
      <sheetName val="7-9需調"/>
      <sheetName val="NMOC"/>
      <sheetName val="7Scheme"/>
      <sheetName val="8Scheme"/>
      <sheetName val="July-Aug"/>
      <sheetName val="MZ0010"/>
      <sheetName val="略語"/>
      <sheetName val="Sep-Oct"/>
      <sheetName val="特記事項2"/>
      <sheetName val="深脱"/>
      <sheetName val="Prop"/>
      <sheetName val="時刻表"/>
      <sheetName val="FCC"/>
      <sheetName val="TKG2"/>
      <sheetName val="手帳資料"/>
      <sheetName val="作成画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30">
          <cell r="I30">
            <v>16860</v>
          </cell>
          <cell r="J30">
            <v>5520</v>
          </cell>
        </row>
      </sheetData>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安全評価"/>
      <sheetName val="表紙"/>
      <sheetName val="重整備"/>
      <sheetName val="検査 "/>
      <sheetName val="塗装"/>
      <sheetName val="安全管理組織"/>
      <sheetName val="VT_KIROKU_PLATE"/>
      <sheetName val="材料表－1 (四捨五入)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事組織表"/>
      <sheetName val="工事組織表 (2)"/>
      <sheetName val="工事組織表 (4)"/>
      <sheetName val="監督原価内訳表"/>
      <sheetName val="現地経費"/>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初期入力"/>
      <sheetName val="初期データリスト"/>
      <sheetName val="作業員リスト"/>
      <sheetName val="作業員名簿①"/>
      <sheetName val="作業員名簿②"/>
      <sheetName val="肉厚1page"/>
      <sheetName val="旧耐圧気密試験記録"/>
    </sheetNames>
    <sheetDataSet>
      <sheetData sheetId="0"/>
      <sheetData sheetId="1"/>
      <sheetData sheetId="2" refreshError="1">
        <row r="2">
          <cell r="A2" t="str">
            <v>松本　智</v>
          </cell>
          <cell r="B2" t="str">
            <v>まつもと　さとし</v>
          </cell>
          <cell r="E2" t="str">
            <v>年　　月　　日</v>
          </cell>
          <cell r="G2">
            <v>26808</v>
          </cell>
          <cell r="H2">
            <v>29</v>
          </cell>
          <cell r="I2" t="str">
            <v>東大阪市菱屋西5-12-15</v>
          </cell>
          <cell r="J2" t="str">
            <v>06-6787-3661</v>
          </cell>
          <cell r="K2" t="str">
            <v>同上</v>
          </cell>
          <cell r="L2" t="str">
            <v>同上</v>
          </cell>
          <cell r="M2">
            <v>37386</v>
          </cell>
          <cell r="N2" t="str">
            <v>138～80</v>
          </cell>
          <cell r="O2" t="str">
            <v>B</v>
          </cell>
          <cell r="P2" t="str">
            <v>年　月　日</v>
          </cell>
          <cell r="V2" t="str">
            <v>酸欠</v>
          </cell>
          <cell r="AD2" t="str">
            <v>年　月　日</v>
          </cell>
          <cell r="AE2" t="str">
            <v>年　月　日</v>
          </cell>
        </row>
        <row r="3">
          <cell r="A3" t="str">
            <v>藤本　明久</v>
          </cell>
          <cell r="B3" t="str">
            <v>ふじもと　あきひさ</v>
          </cell>
          <cell r="E3" t="str">
            <v>年　　月　　日</v>
          </cell>
          <cell r="G3">
            <v>20702</v>
          </cell>
          <cell r="H3">
            <v>46</v>
          </cell>
          <cell r="I3" t="str">
            <v>守口市来迎町5-15</v>
          </cell>
          <cell r="J3" t="str">
            <v>06-6994-6587</v>
          </cell>
          <cell r="K3" t="str">
            <v>同上</v>
          </cell>
          <cell r="L3" t="str">
            <v>同上</v>
          </cell>
          <cell r="M3">
            <v>37416</v>
          </cell>
          <cell r="N3" t="str">
            <v>124～76</v>
          </cell>
          <cell r="O3" t="str">
            <v>B</v>
          </cell>
          <cell r="P3" t="str">
            <v>年　月　日</v>
          </cell>
          <cell r="V3" t="str">
            <v>酸欠・有機溶剤</v>
          </cell>
          <cell r="W3" t="str">
            <v>足場作業</v>
          </cell>
          <cell r="X3" t="str">
            <v>高所作業</v>
          </cell>
          <cell r="AD3" t="str">
            <v>年　月　日</v>
          </cell>
          <cell r="AE3" t="str">
            <v>年　月　日</v>
          </cell>
        </row>
        <row r="4">
          <cell r="A4" t="str">
            <v>川西　雅敏</v>
          </cell>
          <cell r="B4" t="str">
            <v>かわにし　まさとし</v>
          </cell>
          <cell r="E4" t="str">
            <v>年　　月　　日</v>
          </cell>
          <cell r="G4">
            <v>28041</v>
          </cell>
          <cell r="H4">
            <v>26</v>
          </cell>
          <cell r="I4" t="str">
            <v>東大阪市花園西町7-16</v>
          </cell>
          <cell r="J4" t="str">
            <v>0729-64-4614</v>
          </cell>
          <cell r="K4" t="str">
            <v>同上</v>
          </cell>
          <cell r="L4" t="str">
            <v>同上</v>
          </cell>
          <cell r="M4">
            <v>37300</v>
          </cell>
          <cell r="N4" t="str">
            <v>140～70</v>
          </cell>
          <cell r="O4" t="str">
            <v>O</v>
          </cell>
          <cell r="P4" t="str">
            <v>年　月　日</v>
          </cell>
          <cell r="V4" t="str">
            <v>高所作業</v>
          </cell>
          <cell r="W4" t="str">
            <v>酸欠</v>
          </cell>
          <cell r="AD4" t="str">
            <v>年　月　日</v>
          </cell>
          <cell r="AE4" t="str">
            <v>年　月　日</v>
          </cell>
        </row>
        <row r="5">
          <cell r="A5" t="str">
            <v>植原　睦雄</v>
          </cell>
          <cell r="B5" t="str">
            <v>うえはら　むつお</v>
          </cell>
          <cell r="E5" t="str">
            <v>年　　月　　日</v>
          </cell>
          <cell r="G5">
            <v>20457</v>
          </cell>
          <cell r="H5">
            <v>47</v>
          </cell>
          <cell r="I5" t="str">
            <v>八尾市東山本町8-2-5-206</v>
          </cell>
          <cell r="J5" t="str">
            <v>0729-96-8244</v>
          </cell>
          <cell r="K5" t="str">
            <v>同上</v>
          </cell>
          <cell r="L5" t="str">
            <v>同上</v>
          </cell>
          <cell r="M5">
            <v>37386</v>
          </cell>
          <cell r="N5" t="str">
            <v>140～90</v>
          </cell>
          <cell r="O5" t="str">
            <v>A</v>
          </cell>
          <cell r="P5" t="str">
            <v>年　月　日</v>
          </cell>
          <cell r="V5" t="str">
            <v>足場作業</v>
          </cell>
          <cell r="W5" t="str">
            <v>高所作業</v>
          </cell>
          <cell r="X5" t="str">
            <v>クレーン</v>
          </cell>
          <cell r="AD5" t="str">
            <v>年　月　日</v>
          </cell>
          <cell r="AE5" t="str">
            <v>年　月　日</v>
          </cell>
        </row>
        <row r="6">
          <cell r="E6" t="str">
            <v>年　　月　　日</v>
          </cell>
          <cell r="H6" t="str">
            <v/>
          </cell>
          <cell r="M6" t="str">
            <v>年　月　日</v>
          </cell>
          <cell r="P6" t="str">
            <v>年　月　日</v>
          </cell>
          <cell r="AD6" t="str">
            <v>年　月　日</v>
          </cell>
          <cell r="AE6" t="str">
            <v>年　月　日</v>
          </cell>
        </row>
        <row r="7">
          <cell r="E7" t="str">
            <v>年　　月　　日</v>
          </cell>
          <cell r="H7" t="str">
            <v/>
          </cell>
          <cell r="M7" t="str">
            <v>年　月　日</v>
          </cell>
          <cell r="P7" t="str">
            <v>年　月　日</v>
          </cell>
          <cell r="AD7" t="str">
            <v>年　月　日</v>
          </cell>
          <cell r="AE7" t="str">
            <v>年　月　日</v>
          </cell>
        </row>
        <row r="8">
          <cell r="E8" t="str">
            <v>年　　月　　日</v>
          </cell>
          <cell r="H8" t="str">
            <v/>
          </cell>
          <cell r="M8" t="str">
            <v>年　月　日</v>
          </cell>
          <cell r="P8" t="str">
            <v>年　月　日</v>
          </cell>
          <cell r="AD8" t="str">
            <v>年　月　日</v>
          </cell>
          <cell r="AE8" t="str">
            <v>年　月　日</v>
          </cell>
        </row>
        <row r="9">
          <cell r="E9" t="str">
            <v>年　　月　　日</v>
          </cell>
          <cell r="H9" t="str">
            <v/>
          </cell>
          <cell r="M9" t="str">
            <v>年　月　日</v>
          </cell>
          <cell r="P9" t="str">
            <v>年　月　日</v>
          </cell>
          <cell r="AD9" t="str">
            <v>年　月　日</v>
          </cell>
          <cell r="AE9" t="str">
            <v>年　月　日</v>
          </cell>
        </row>
        <row r="10">
          <cell r="E10" t="str">
            <v>年　　月　　日</v>
          </cell>
          <cell r="H10" t="str">
            <v/>
          </cell>
          <cell r="M10" t="str">
            <v>年　月　日</v>
          </cell>
          <cell r="P10" t="str">
            <v>年　月　日</v>
          </cell>
          <cell r="AD10" t="str">
            <v>年　月　日</v>
          </cell>
          <cell r="AE10" t="str">
            <v>年　月　日</v>
          </cell>
        </row>
        <row r="11">
          <cell r="E11" t="str">
            <v>年　　月　　日</v>
          </cell>
          <cell r="H11" t="str">
            <v/>
          </cell>
          <cell r="M11" t="str">
            <v>年　月　日</v>
          </cell>
          <cell r="P11" t="str">
            <v>年　月　日</v>
          </cell>
          <cell r="AD11" t="str">
            <v>年　月　日</v>
          </cell>
          <cell r="AE11" t="str">
            <v>年　月　日</v>
          </cell>
        </row>
        <row r="12">
          <cell r="E12" t="str">
            <v>年　　月　　日</v>
          </cell>
          <cell r="H12" t="str">
            <v/>
          </cell>
          <cell r="M12" t="str">
            <v>年　月　日</v>
          </cell>
          <cell r="P12" t="str">
            <v>年　月　日</v>
          </cell>
          <cell r="AD12" t="str">
            <v>年　月　日</v>
          </cell>
          <cell r="AE12" t="str">
            <v>年　月　日</v>
          </cell>
        </row>
        <row r="13">
          <cell r="E13" t="str">
            <v>年　　月　　日</v>
          </cell>
          <cell r="H13" t="str">
            <v/>
          </cell>
          <cell r="M13" t="str">
            <v>年　月　日</v>
          </cell>
          <cell r="P13" t="str">
            <v>年　月　日</v>
          </cell>
          <cell r="AD13" t="str">
            <v>年　月　日</v>
          </cell>
          <cell r="AE13" t="str">
            <v>年　月　日</v>
          </cell>
        </row>
        <row r="14">
          <cell r="E14" t="str">
            <v>年　　月　　日</v>
          </cell>
          <cell r="H14" t="str">
            <v/>
          </cell>
          <cell r="M14" t="str">
            <v>年　月　日</v>
          </cell>
          <cell r="P14" t="str">
            <v>年　月　日</v>
          </cell>
          <cell r="AD14" t="str">
            <v>年　月　日</v>
          </cell>
          <cell r="AE14" t="str">
            <v>年　月　日</v>
          </cell>
        </row>
        <row r="15">
          <cell r="E15" t="str">
            <v>年　　月　　日</v>
          </cell>
          <cell r="H15" t="str">
            <v/>
          </cell>
          <cell r="M15" t="str">
            <v>年　月　日</v>
          </cell>
          <cell r="P15" t="str">
            <v>年　月　日</v>
          </cell>
          <cell r="AD15" t="str">
            <v>年　月　日</v>
          </cell>
          <cell r="AE15" t="str">
            <v>年　月　日</v>
          </cell>
        </row>
        <row r="16">
          <cell r="E16" t="str">
            <v>年　　月　　日</v>
          </cell>
          <cell r="H16" t="str">
            <v/>
          </cell>
          <cell r="M16" t="str">
            <v>年　月　日</v>
          </cell>
          <cell r="P16" t="str">
            <v>年　月　日</v>
          </cell>
          <cell r="AD16" t="str">
            <v>年　月　日</v>
          </cell>
          <cell r="AE16" t="str">
            <v>年　月　日</v>
          </cell>
        </row>
        <row r="17">
          <cell r="E17" t="str">
            <v>年　　月　　日</v>
          </cell>
          <cell r="H17" t="str">
            <v/>
          </cell>
          <cell r="M17" t="str">
            <v>年　月　日</v>
          </cell>
          <cell r="P17" t="str">
            <v>年　月　日</v>
          </cell>
          <cell r="AD17" t="str">
            <v>年　月　日</v>
          </cell>
          <cell r="AE17" t="str">
            <v>年　月　日</v>
          </cell>
        </row>
        <row r="18">
          <cell r="E18" t="str">
            <v>年　　月　　日</v>
          </cell>
          <cell r="H18" t="str">
            <v/>
          </cell>
          <cell r="M18" t="str">
            <v>年　月　日</v>
          </cell>
          <cell r="P18" t="str">
            <v>年　月　日</v>
          </cell>
          <cell r="AD18" t="str">
            <v>年　月　日</v>
          </cell>
          <cell r="AE18" t="str">
            <v>年　月　日</v>
          </cell>
        </row>
        <row r="19">
          <cell r="E19" t="str">
            <v>年　　月　　日</v>
          </cell>
          <cell r="H19" t="str">
            <v/>
          </cell>
          <cell r="M19" t="str">
            <v>年　月　日</v>
          </cell>
          <cell r="P19" t="str">
            <v>年　月　日</v>
          </cell>
          <cell r="AD19" t="str">
            <v>年　月　日</v>
          </cell>
          <cell r="AE19" t="str">
            <v>年　月　日</v>
          </cell>
        </row>
        <row r="20">
          <cell r="E20" t="str">
            <v>年　　月　　日</v>
          </cell>
          <cell r="H20" t="str">
            <v/>
          </cell>
          <cell r="M20" t="str">
            <v>年　月　日</v>
          </cell>
          <cell r="P20" t="str">
            <v>年　月　日</v>
          </cell>
          <cell r="AD20" t="str">
            <v>年　月　日</v>
          </cell>
          <cell r="AE20" t="str">
            <v>年　月　日</v>
          </cell>
        </row>
        <row r="21">
          <cell r="E21" t="str">
            <v>年　　月　　日</v>
          </cell>
          <cell r="H21" t="str">
            <v/>
          </cell>
          <cell r="M21" t="str">
            <v>年　月　日</v>
          </cell>
          <cell r="P21" t="str">
            <v>年　月　日</v>
          </cell>
          <cell r="AD21" t="str">
            <v>年　月　日</v>
          </cell>
          <cell r="AE21" t="str">
            <v>年　月　日</v>
          </cell>
        </row>
        <row r="22">
          <cell r="E22" t="str">
            <v>年　　月　　日</v>
          </cell>
          <cell r="H22" t="str">
            <v/>
          </cell>
          <cell r="M22" t="str">
            <v>年　月　日</v>
          </cell>
          <cell r="P22" t="str">
            <v>年　月　日</v>
          </cell>
          <cell r="AD22" t="str">
            <v>年　月　日</v>
          </cell>
          <cell r="AE22" t="str">
            <v>年　月　日</v>
          </cell>
        </row>
        <row r="23">
          <cell r="E23" t="str">
            <v>年　　月　　日</v>
          </cell>
          <cell r="H23" t="str">
            <v/>
          </cell>
          <cell r="M23" t="str">
            <v>年　月　日</v>
          </cell>
          <cell r="P23" t="str">
            <v>年　月　日</v>
          </cell>
          <cell r="AD23" t="str">
            <v>年　月　日</v>
          </cell>
          <cell r="AE23" t="str">
            <v>年　月　日</v>
          </cell>
        </row>
        <row r="24">
          <cell r="E24" t="str">
            <v>年　　月　　日</v>
          </cell>
          <cell r="H24" t="str">
            <v/>
          </cell>
          <cell r="M24" t="str">
            <v>年　月　日</v>
          </cell>
          <cell r="P24" t="str">
            <v>年　月　日</v>
          </cell>
          <cell r="AD24" t="str">
            <v>年　月　日</v>
          </cell>
          <cell r="AE24" t="str">
            <v>年　月　日</v>
          </cell>
        </row>
        <row r="25">
          <cell r="E25" t="str">
            <v>年　　月　　日</v>
          </cell>
          <cell r="H25" t="str">
            <v/>
          </cell>
          <cell r="M25" t="str">
            <v>年　月　日</v>
          </cell>
          <cell r="P25" t="str">
            <v>年　月　日</v>
          </cell>
          <cell r="AD25" t="str">
            <v>年　月　日</v>
          </cell>
          <cell r="AE25" t="str">
            <v>年　月　日</v>
          </cell>
        </row>
        <row r="26">
          <cell r="E26" t="str">
            <v>年　　月　　日</v>
          </cell>
          <cell r="H26" t="str">
            <v/>
          </cell>
          <cell r="M26" t="str">
            <v>年　月　日</v>
          </cell>
          <cell r="P26" t="str">
            <v>年　月　日</v>
          </cell>
          <cell r="AD26" t="str">
            <v>年　月　日</v>
          </cell>
          <cell r="AE26" t="str">
            <v>年　月　日</v>
          </cell>
        </row>
        <row r="27">
          <cell r="E27" t="str">
            <v>年　　月　　日</v>
          </cell>
          <cell r="H27" t="str">
            <v/>
          </cell>
          <cell r="M27" t="str">
            <v>年　月　日</v>
          </cell>
          <cell r="P27" t="str">
            <v>年　月　日</v>
          </cell>
          <cell r="AD27" t="str">
            <v>年　月　日</v>
          </cell>
          <cell r="AE27" t="str">
            <v>年　月　日</v>
          </cell>
        </row>
        <row r="28">
          <cell r="E28" t="str">
            <v>年　　月　　日</v>
          </cell>
          <cell r="H28" t="str">
            <v/>
          </cell>
          <cell r="M28" t="str">
            <v>年　月　日</v>
          </cell>
          <cell r="P28" t="str">
            <v>年　月　日</v>
          </cell>
          <cell r="AD28" t="str">
            <v>年　月　日</v>
          </cell>
          <cell r="AE28" t="str">
            <v>年　月　日</v>
          </cell>
        </row>
        <row r="29">
          <cell r="E29" t="str">
            <v>年　　月　　日</v>
          </cell>
          <cell r="H29" t="str">
            <v/>
          </cell>
          <cell r="M29" t="str">
            <v>年　月　日</v>
          </cell>
          <cell r="P29" t="str">
            <v>年　月　日</v>
          </cell>
          <cell r="AD29" t="str">
            <v>年　月　日</v>
          </cell>
          <cell r="AE29" t="str">
            <v>年　月　日</v>
          </cell>
        </row>
        <row r="30">
          <cell r="E30" t="str">
            <v>年　　月　　日</v>
          </cell>
          <cell r="H30" t="str">
            <v/>
          </cell>
          <cell r="M30" t="str">
            <v>年　月　日</v>
          </cell>
          <cell r="P30" t="str">
            <v>年　月　日</v>
          </cell>
          <cell r="AD30" t="str">
            <v>年　月　日</v>
          </cell>
          <cell r="AE30" t="str">
            <v>年　月　日</v>
          </cell>
        </row>
        <row r="31">
          <cell r="E31" t="str">
            <v>年　　月　　日</v>
          </cell>
          <cell r="H31" t="str">
            <v/>
          </cell>
          <cell r="M31" t="str">
            <v>年　月　日</v>
          </cell>
          <cell r="P31" t="str">
            <v>年　月　日</v>
          </cell>
          <cell r="AD31" t="str">
            <v>年　月　日</v>
          </cell>
          <cell r="AE31" t="str">
            <v>年　月　日</v>
          </cell>
        </row>
        <row r="32">
          <cell r="E32" t="str">
            <v>年　　月　　日</v>
          </cell>
          <cell r="H32" t="str">
            <v/>
          </cell>
          <cell r="M32" t="str">
            <v>年　月　日</v>
          </cell>
          <cell r="P32" t="str">
            <v>年　月　日</v>
          </cell>
          <cell r="AD32" t="str">
            <v>年　月　日</v>
          </cell>
          <cell r="AE32" t="str">
            <v>年　月　日</v>
          </cell>
        </row>
        <row r="33">
          <cell r="E33" t="str">
            <v>年　　月　　日</v>
          </cell>
          <cell r="H33" t="str">
            <v/>
          </cell>
          <cell r="M33" t="str">
            <v>年　月　日</v>
          </cell>
          <cell r="P33" t="str">
            <v>年　月　日</v>
          </cell>
          <cell r="AD33" t="str">
            <v>年　月　日</v>
          </cell>
          <cell r="AE33" t="str">
            <v>年　月　日</v>
          </cell>
        </row>
        <row r="34">
          <cell r="E34" t="str">
            <v>年　　月　　日</v>
          </cell>
          <cell r="H34" t="str">
            <v/>
          </cell>
          <cell r="M34" t="str">
            <v>年　月　日</v>
          </cell>
          <cell r="P34" t="str">
            <v>年　月　日</v>
          </cell>
          <cell r="AD34" t="str">
            <v>年　月　日</v>
          </cell>
          <cell r="AE34" t="str">
            <v>年　月　日</v>
          </cell>
        </row>
        <row r="35">
          <cell r="E35" t="str">
            <v>年　　月　　日</v>
          </cell>
          <cell r="H35" t="str">
            <v/>
          </cell>
          <cell r="M35" t="str">
            <v>年　月　日</v>
          </cell>
          <cell r="P35" t="str">
            <v>年　月　日</v>
          </cell>
          <cell r="AD35" t="str">
            <v>年　月　日</v>
          </cell>
          <cell r="AE35" t="str">
            <v>年　月　日</v>
          </cell>
        </row>
        <row r="36">
          <cell r="E36" t="str">
            <v>年　　月　　日</v>
          </cell>
          <cell r="H36" t="str">
            <v/>
          </cell>
          <cell r="M36" t="str">
            <v>年　月　日</v>
          </cell>
          <cell r="P36" t="str">
            <v>年　月　日</v>
          </cell>
          <cell r="AD36" t="str">
            <v>年　月　日</v>
          </cell>
          <cell r="AE36" t="str">
            <v>年　月　日</v>
          </cell>
        </row>
        <row r="37">
          <cell r="E37" t="str">
            <v>年　　月　　日</v>
          </cell>
          <cell r="H37" t="str">
            <v/>
          </cell>
          <cell r="M37" t="str">
            <v>年　月　日</v>
          </cell>
          <cell r="P37" t="str">
            <v>年　月　日</v>
          </cell>
          <cell r="AD37" t="str">
            <v>年　月　日</v>
          </cell>
          <cell r="AE37" t="str">
            <v>年　月　日</v>
          </cell>
        </row>
        <row r="38">
          <cell r="E38" t="str">
            <v>年　　月　　日</v>
          </cell>
          <cell r="H38" t="str">
            <v/>
          </cell>
          <cell r="M38" t="str">
            <v>年　月　日</v>
          </cell>
          <cell r="P38" t="str">
            <v>年　月　日</v>
          </cell>
          <cell r="AD38" t="str">
            <v>年　月　日</v>
          </cell>
          <cell r="AE38" t="str">
            <v>年　月　日</v>
          </cell>
        </row>
        <row r="39">
          <cell r="E39" t="str">
            <v>年　　月　　日</v>
          </cell>
          <cell r="H39" t="str">
            <v/>
          </cell>
          <cell r="M39" t="str">
            <v>年　月　日</v>
          </cell>
          <cell r="P39" t="str">
            <v>年　月　日</v>
          </cell>
          <cell r="AD39" t="str">
            <v>年　月　日</v>
          </cell>
          <cell r="AE39" t="str">
            <v>年　月　日</v>
          </cell>
        </row>
        <row r="40">
          <cell r="E40" t="str">
            <v>年　　月　　日</v>
          </cell>
          <cell r="H40" t="str">
            <v/>
          </cell>
          <cell r="M40" t="str">
            <v>年　月　日</v>
          </cell>
          <cell r="P40" t="str">
            <v>年　月　日</v>
          </cell>
          <cell r="AD40" t="str">
            <v>年　月　日</v>
          </cell>
          <cell r="AE40" t="str">
            <v>年　月　日</v>
          </cell>
        </row>
        <row r="41">
          <cell r="E41" t="str">
            <v>年　　月　　日</v>
          </cell>
          <cell r="H41" t="str">
            <v/>
          </cell>
          <cell r="M41" t="str">
            <v>年　月　日</v>
          </cell>
          <cell r="P41" t="str">
            <v>年　月　日</v>
          </cell>
          <cell r="AD41" t="str">
            <v>年　月　日</v>
          </cell>
          <cell r="AE41" t="str">
            <v>年　月　日</v>
          </cell>
        </row>
        <row r="42">
          <cell r="E42" t="str">
            <v>年　　月　　日</v>
          </cell>
          <cell r="H42" t="str">
            <v/>
          </cell>
          <cell r="M42" t="str">
            <v>年　月　日</v>
          </cell>
          <cell r="P42" t="str">
            <v>年　月　日</v>
          </cell>
          <cell r="AD42" t="str">
            <v>年　月　日</v>
          </cell>
          <cell r="AE42" t="str">
            <v>年　月　日</v>
          </cell>
        </row>
        <row r="43">
          <cell r="E43" t="str">
            <v>年　　月　　日</v>
          </cell>
          <cell r="H43" t="str">
            <v/>
          </cell>
          <cell r="M43" t="str">
            <v>年　月　日</v>
          </cell>
          <cell r="P43" t="str">
            <v>年　月　日</v>
          </cell>
          <cell r="AD43" t="str">
            <v>年　月　日</v>
          </cell>
          <cell r="AE43" t="str">
            <v>年　月　日</v>
          </cell>
        </row>
        <row r="44">
          <cell r="E44" t="str">
            <v>年　　月　　日</v>
          </cell>
          <cell r="H44" t="str">
            <v/>
          </cell>
          <cell r="M44" t="str">
            <v>年　月　日</v>
          </cell>
          <cell r="P44" t="str">
            <v>年　月　日</v>
          </cell>
          <cell r="AD44" t="str">
            <v>年　月　日</v>
          </cell>
          <cell r="AE44" t="str">
            <v>年　月　日</v>
          </cell>
        </row>
        <row r="45">
          <cell r="E45" t="str">
            <v>年　　月　　日</v>
          </cell>
          <cell r="H45" t="str">
            <v/>
          </cell>
          <cell r="M45" t="str">
            <v>年　月　日</v>
          </cell>
          <cell r="P45" t="str">
            <v>年　月　日</v>
          </cell>
          <cell r="AD45" t="str">
            <v>年　月　日</v>
          </cell>
          <cell r="AE45" t="str">
            <v>年　月　日</v>
          </cell>
        </row>
        <row r="46">
          <cell r="E46" t="str">
            <v>年　　月　　日</v>
          </cell>
          <cell r="H46" t="str">
            <v/>
          </cell>
          <cell r="M46" t="str">
            <v>年　月　日</v>
          </cell>
          <cell r="P46" t="str">
            <v>年　月　日</v>
          </cell>
          <cell r="AD46" t="str">
            <v>年　月　日</v>
          </cell>
          <cell r="AE46" t="str">
            <v>年　月　日</v>
          </cell>
        </row>
        <row r="47">
          <cell r="E47" t="str">
            <v>年　　月　　日</v>
          </cell>
          <cell r="H47" t="str">
            <v/>
          </cell>
          <cell r="M47" t="str">
            <v>年　月　日</v>
          </cell>
          <cell r="P47" t="str">
            <v>年　月　日</v>
          </cell>
          <cell r="AD47" t="str">
            <v>年　月　日</v>
          </cell>
          <cell r="AE47" t="str">
            <v>年　月　日</v>
          </cell>
        </row>
        <row r="48">
          <cell r="E48" t="str">
            <v>年　　月　　日</v>
          </cell>
          <cell r="H48" t="str">
            <v/>
          </cell>
          <cell r="M48" t="str">
            <v>年　月　日</v>
          </cell>
          <cell r="P48" t="str">
            <v>年　月　日</v>
          </cell>
          <cell r="AD48" t="str">
            <v>年　月　日</v>
          </cell>
          <cell r="AE48" t="str">
            <v>年　月　日</v>
          </cell>
        </row>
        <row r="49">
          <cell r="E49" t="str">
            <v>年　　月　　日</v>
          </cell>
          <cell r="H49" t="str">
            <v/>
          </cell>
          <cell r="M49" t="str">
            <v>年　月　日</v>
          </cell>
          <cell r="P49" t="str">
            <v>年　月　日</v>
          </cell>
          <cell r="AD49" t="str">
            <v>年　月　日</v>
          </cell>
          <cell r="AE49" t="str">
            <v>年　月　日</v>
          </cell>
        </row>
        <row r="50">
          <cell r="E50" t="str">
            <v>年　　月　　日</v>
          </cell>
          <cell r="H50" t="str">
            <v/>
          </cell>
          <cell r="M50" t="str">
            <v>年　月　日</v>
          </cell>
          <cell r="P50" t="str">
            <v>年　月　日</v>
          </cell>
          <cell r="AD50" t="str">
            <v>年　月　日</v>
          </cell>
          <cell r="AE50" t="str">
            <v>年　月　日</v>
          </cell>
        </row>
        <row r="51">
          <cell r="E51" t="str">
            <v>年　　月　　日</v>
          </cell>
          <cell r="H51" t="str">
            <v/>
          </cell>
          <cell r="M51" t="str">
            <v>年　月　日</v>
          </cell>
          <cell r="P51" t="str">
            <v>年　月　日</v>
          </cell>
          <cell r="AD51" t="str">
            <v>年　月　日</v>
          </cell>
          <cell r="AE51" t="str">
            <v>年　月　日</v>
          </cell>
        </row>
        <row r="52">
          <cell r="E52" t="str">
            <v>年　　月　　日</v>
          </cell>
          <cell r="H52" t="str">
            <v/>
          </cell>
          <cell r="M52" t="str">
            <v>年　月　日</v>
          </cell>
          <cell r="P52" t="str">
            <v>年　月　日</v>
          </cell>
          <cell r="AD52" t="str">
            <v>年　月　日</v>
          </cell>
          <cell r="AE52" t="str">
            <v>年　月　日</v>
          </cell>
        </row>
        <row r="53">
          <cell r="E53" t="str">
            <v>年　　月　　日</v>
          </cell>
          <cell r="H53" t="str">
            <v/>
          </cell>
          <cell r="M53" t="str">
            <v>年　月　日</v>
          </cell>
          <cell r="P53" t="str">
            <v>年　月　日</v>
          </cell>
          <cell r="AD53" t="str">
            <v>年　月　日</v>
          </cell>
          <cell r="AE53" t="str">
            <v>年　月　日</v>
          </cell>
        </row>
        <row r="54">
          <cell r="E54" t="str">
            <v>年　　月　　日</v>
          </cell>
          <cell r="H54" t="str">
            <v/>
          </cell>
          <cell r="M54" t="str">
            <v>年　月　日</v>
          </cell>
          <cell r="P54" t="str">
            <v>年　月　日</v>
          </cell>
          <cell r="AD54" t="str">
            <v>年　月　日</v>
          </cell>
          <cell r="AE54" t="str">
            <v>年　月　日</v>
          </cell>
        </row>
        <row r="55">
          <cell r="E55" t="str">
            <v>年　　月　　日</v>
          </cell>
          <cell r="H55" t="str">
            <v/>
          </cell>
          <cell r="M55" t="str">
            <v>年　月　日</v>
          </cell>
          <cell r="P55" t="str">
            <v>年　月　日</v>
          </cell>
          <cell r="AD55" t="str">
            <v>年　月　日</v>
          </cell>
          <cell r="AE55" t="str">
            <v>年　月　日</v>
          </cell>
        </row>
        <row r="56">
          <cell r="E56" t="str">
            <v>年　　月　　日</v>
          </cell>
          <cell r="H56" t="str">
            <v/>
          </cell>
          <cell r="M56" t="str">
            <v>年　月　日</v>
          </cell>
          <cell r="P56" t="str">
            <v>年　月　日</v>
          </cell>
          <cell r="AD56" t="str">
            <v>年　月　日</v>
          </cell>
          <cell r="AE56" t="str">
            <v>年　月　日</v>
          </cell>
        </row>
        <row r="57">
          <cell r="E57" t="str">
            <v>年　　月　　日</v>
          </cell>
          <cell r="H57" t="str">
            <v/>
          </cell>
          <cell r="M57" t="str">
            <v>年　月　日</v>
          </cell>
          <cell r="P57" t="str">
            <v>年　月　日</v>
          </cell>
          <cell r="AD57" t="str">
            <v>年　月　日</v>
          </cell>
          <cell r="AE57" t="str">
            <v>年　月　日</v>
          </cell>
        </row>
        <row r="58">
          <cell r="E58" t="str">
            <v>年　　月　　日</v>
          </cell>
          <cell r="H58" t="str">
            <v/>
          </cell>
          <cell r="M58" t="str">
            <v>年　月　日</v>
          </cell>
          <cell r="P58" t="str">
            <v>年　月　日</v>
          </cell>
          <cell r="AD58" t="str">
            <v>年　月　日</v>
          </cell>
          <cell r="AE58" t="str">
            <v>年　月　日</v>
          </cell>
        </row>
        <row r="59">
          <cell r="E59" t="str">
            <v>年　　月　　日</v>
          </cell>
          <cell r="H59" t="str">
            <v/>
          </cell>
          <cell r="M59" t="str">
            <v>年　月　日</v>
          </cell>
          <cell r="P59" t="str">
            <v>年　月　日</v>
          </cell>
          <cell r="AD59" t="str">
            <v>年　月　日</v>
          </cell>
          <cell r="AE59" t="str">
            <v>年　月　日</v>
          </cell>
        </row>
        <row r="60">
          <cell r="E60" t="str">
            <v>年　　月　　日</v>
          </cell>
          <cell r="H60" t="str">
            <v/>
          </cell>
          <cell r="M60" t="str">
            <v>年　月　日</v>
          </cell>
          <cell r="P60" t="str">
            <v>年　月　日</v>
          </cell>
          <cell r="AD60" t="str">
            <v>年　月　日</v>
          </cell>
          <cell r="AE60" t="str">
            <v>年　月　日</v>
          </cell>
        </row>
        <row r="61">
          <cell r="E61" t="str">
            <v>年　　月　　日</v>
          </cell>
          <cell r="H61" t="str">
            <v/>
          </cell>
          <cell r="M61" t="str">
            <v>年　月　日</v>
          </cell>
          <cell r="P61" t="str">
            <v>年　月　日</v>
          </cell>
          <cell r="AD61" t="str">
            <v>年　月　日</v>
          </cell>
          <cell r="AE61" t="str">
            <v>年　月　日</v>
          </cell>
        </row>
        <row r="62">
          <cell r="E62" t="str">
            <v>年　　月　　日</v>
          </cell>
          <cell r="H62" t="str">
            <v/>
          </cell>
          <cell r="M62" t="str">
            <v>年　月　日</v>
          </cell>
          <cell r="P62" t="str">
            <v>年　月　日</v>
          </cell>
          <cell r="AD62" t="str">
            <v>年　月　日</v>
          </cell>
          <cell r="AE62" t="str">
            <v>年　月　日</v>
          </cell>
        </row>
        <row r="63">
          <cell r="E63" t="str">
            <v>年　　月　　日</v>
          </cell>
          <cell r="H63" t="str">
            <v/>
          </cell>
          <cell r="M63" t="str">
            <v>年　月　日</v>
          </cell>
          <cell r="P63" t="str">
            <v>年　月　日</v>
          </cell>
          <cell r="AD63" t="str">
            <v>年　月　日</v>
          </cell>
          <cell r="AE63" t="str">
            <v>年　月　日</v>
          </cell>
        </row>
        <row r="64">
          <cell r="E64" t="str">
            <v>年　　月　　日</v>
          </cell>
          <cell r="H64" t="str">
            <v/>
          </cell>
          <cell r="M64" t="str">
            <v>年　月　日</v>
          </cell>
          <cell r="P64" t="str">
            <v>年　月　日</v>
          </cell>
          <cell r="AD64" t="str">
            <v>年　月　日</v>
          </cell>
          <cell r="AE64" t="str">
            <v>年　月　日</v>
          </cell>
        </row>
        <row r="65">
          <cell r="E65" t="str">
            <v>年　　月　　日</v>
          </cell>
          <cell r="H65" t="str">
            <v/>
          </cell>
          <cell r="M65" t="str">
            <v>年　月　日</v>
          </cell>
          <cell r="P65" t="str">
            <v>年　月　日</v>
          </cell>
          <cell r="AD65" t="str">
            <v>年　月　日</v>
          </cell>
          <cell r="AE65" t="str">
            <v>年　月　日</v>
          </cell>
        </row>
        <row r="66">
          <cell r="E66" t="str">
            <v>年　　月　　日</v>
          </cell>
          <cell r="H66" t="str">
            <v/>
          </cell>
          <cell r="M66" t="str">
            <v>年　月　日</v>
          </cell>
          <cell r="P66" t="str">
            <v>年　月　日</v>
          </cell>
          <cell r="AD66" t="str">
            <v>年　月　日</v>
          </cell>
          <cell r="AE66" t="str">
            <v>年　月　日</v>
          </cell>
        </row>
        <row r="67">
          <cell r="E67" t="str">
            <v>年　　月　　日</v>
          </cell>
          <cell r="H67" t="str">
            <v/>
          </cell>
          <cell r="M67" t="str">
            <v>年　月　日</v>
          </cell>
          <cell r="P67" t="str">
            <v>年　月　日</v>
          </cell>
          <cell r="AD67" t="str">
            <v>年　月　日</v>
          </cell>
          <cell r="AE67" t="str">
            <v>年　月　日</v>
          </cell>
        </row>
        <row r="68">
          <cell r="E68" t="str">
            <v>年　　月　　日</v>
          </cell>
          <cell r="H68" t="str">
            <v/>
          </cell>
          <cell r="M68" t="str">
            <v>年　月　日</v>
          </cell>
          <cell r="P68" t="str">
            <v>年　月　日</v>
          </cell>
          <cell r="AD68" t="str">
            <v>年　月　日</v>
          </cell>
          <cell r="AE68" t="str">
            <v>年　月　日</v>
          </cell>
        </row>
        <row r="69">
          <cell r="E69" t="str">
            <v>年　　月　　日</v>
          </cell>
          <cell r="H69" t="str">
            <v/>
          </cell>
          <cell r="M69" t="str">
            <v>年　月　日</v>
          </cell>
          <cell r="P69" t="str">
            <v>年　月　日</v>
          </cell>
          <cell r="AD69" t="str">
            <v>年　月　日</v>
          </cell>
          <cell r="AE69" t="str">
            <v>年　月　日</v>
          </cell>
        </row>
        <row r="70">
          <cell r="E70" t="str">
            <v>年　　月　　日</v>
          </cell>
          <cell r="H70" t="str">
            <v/>
          </cell>
          <cell r="M70" t="str">
            <v>年　月　日</v>
          </cell>
          <cell r="P70" t="str">
            <v>年　月　日</v>
          </cell>
          <cell r="AD70" t="str">
            <v>年　月　日</v>
          </cell>
          <cell r="AE70" t="str">
            <v>年　月　日</v>
          </cell>
        </row>
        <row r="71">
          <cell r="E71" t="str">
            <v>年　　月　　日</v>
          </cell>
          <cell r="H71" t="str">
            <v/>
          </cell>
          <cell r="M71" t="str">
            <v>年　月　日</v>
          </cell>
          <cell r="P71" t="str">
            <v>年　月　日</v>
          </cell>
          <cell r="AD71" t="str">
            <v>年　月　日</v>
          </cell>
          <cell r="AE71" t="str">
            <v>年　月　日</v>
          </cell>
        </row>
        <row r="72">
          <cell r="E72" t="str">
            <v>年　　月　　日</v>
          </cell>
          <cell r="H72" t="str">
            <v/>
          </cell>
          <cell r="M72" t="str">
            <v>年　月　日</v>
          </cell>
          <cell r="P72" t="str">
            <v>年　月　日</v>
          </cell>
          <cell r="AD72" t="str">
            <v>年　月　日</v>
          </cell>
          <cell r="AE72" t="str">
            <v>年　月　日</v>
          </cell>
        </row>
        <row r="73">
          <cell r="E73" t="str">
            <v>年　　月　　日</v>
          </cell>
          <cell r="H73" t="str">
            <v/>
          </cell>
          <cell r="M73" t="str">
            <v>年　月　日</v>
          </cell>
          <cell r="P73" t="str">
            <v>年　月　日</v>
          </cell>
          <cell r="AD73" t="str">
            <v>年　月　日</v>
          </cell>
          <cell r="AE73" t="str">
            <v>年　月　日</v>
          </cell>
        </row>
        <row r="74">
          <cell r="E74" t="str">
            <v>年　　月　　日</v>
          </cell>
          <cell r="H74" t="str">
            <v/>
          </cell>
          <cell r="M74" t="str">
            <v>年　月　日</v>
          </cell>
          <cell r="P74" t="str">
            <v>年　月　日</v>
          </cell>
          <cell r="AD74" t="str">
            <v>年　月　日</v>
          </cell>
          <cell r="AE74" t="str">
            <v>年　月　日</v>
          </cell>
        </row>
        <row r="75">
          <cell r="E75" t="str">
            <v>年　　月　　日</v>
          </cell>
          <cell r="H75" t="str">
            <v/>
          </cell>
          <cell r="M75" t="str">
            <v>年　月　日</v>
          </cell>
          <cell r="P75" t="str">
            <v>年　月　日</v>
          </cell>
          <cell r="AD75" t="str">
            <v>年　月　日</v>
          </cell>
          <cell r="AE75" t="str">
            <v>年　月　日</v>
          </cell>
        </row>
        <row r="76">
          <cell r="E76" t="str">
            <v>年　　月　　日</v>
          </cell>
          <cell r="H76" t="str">
            <v/>
          </cell>
          <cell r="M76" t="str">
            <v>年　月　日</v>
          </cell>
          <cell r="P76" t="str">
            <v>年　月　日</v>
          </cell>
          <cell r="AD76" t="str">
            <v>年　月　日</v>
          </cell>
          <cell r="AE76" t="str">
            <v>年　月　日</v>
          </cell>
        </row>
        <row r="77">
          <cell r="E77" t="str">
            <v>年　　月　　日</v>
          </cell>
          <cell r="H77" t="str">
            <v/>
          </cell>
          <cell r="M77" t="str">
            <v>年　月　日</v>
          </cell>
          <cell r="P77" t="str">
            <v>年　月　日</v>
          </cell>
          <cell r="AD77" t="str">
            <v>年　月　日</v>
          </cell>
          <cell r="AE77" t="str">
            <v>年　月　日</v>
          </cell>
        </row>
        <row r="78">
          <cell r="E78" t="str">
            <v>年　　月　　日</v>
          </cell>
          <cell r="H78" t="str">
            <v/>
          </cell>
          <cell r="M78" t="str">
            <v>年　月　日</v>
          </cell>
          <cell r="P78" t="str">
            <v>年　月　日</v>
          </cell>
          <cell r="AD78" t="str">
            <v>年　月　日</v>
          </cell>
          <cell r="AE78" t="str">
            <v>年　月　日</v>
          </cell>
        </row>
        <row r="79">
          <cell r="E79" t="str">
            <v>年　　月　　日</v>
          </cell>
          <cell r="H79" t="str">
            <v/>
          </cell>
          <cell r="M79" t="str">
            <v>年　月　日</v>
          </cell>
          <cell r="P79" t="str">
            <v>年　月　日</v>
          </cell>
          <cell r="AD79" t="str">
            <v>年　月　日</v>
          </cell>
          <cell r="AE79" t="str">
            <v>年　月　日</v>
          </cell>
        </row>
        <row r="80">
          <cell r="E80" t="str">
            <v>年　　月　　日</v>
          </cell>
          <cell r="H80" t="str">
            <v/>
          </cell>
          <cell r="M80" t="str">
            <v>年　月　日</v>
          </cell>
          <cell r="P80" t="str">
            <v>年　月　日</v>
          </cell>
          <cell r="AD80" t="str">
            <v>年　月　日</v>
          </cell>
          <cell r="AE80" t="str">
            <v>年　月　日</v>
          </cell>
        </row>
        <row r="81">
          <cell r="E81" t="str">
            <v>年　　月　　日</v>
          </cell>
          <cell r="H81" t="str">
            <v/>
          </cell>
          <cell r="M81" t="str">
            <v>年　月　日</v>
          </cell>
          <cell r="P81" t="str">
            <v>年　月　日</v>
          </cell>
          <cell r="AD81" t="str">
            <v>年　月　日</v>
          </cell>
          <cell r="AE81" t="str">
            <v>年　月　日</v>
          </cell>
        </row>
        <row r="82">
          <cell r="E82" t="str">
            <v>年　　月　　日</v>
          </cell>
          <cell r="H82" t="str">
            <v/>
          </cell>
          <cell r="M82" t="str">
            <v>年　月　日</v>
          </cell>
          <cell r="P82" t="str">
            <v>年　月　日</v>
          </cell>
          <cell r="AD82" t="str">
            <v>年　月　日</v>
          </cell>
          <cell r="AE82" t="str">
            <v>年　月　日</v>
          </cell>
        </row>
        <row r="83">
          <cell r="E83" t="str">
            <v>年　　月　　日</v>
          </cell>
          <cell r="H83" t="str">
            <v/>
          </cell>
          <cell r="M83" t="str">
            <v>年　月　日</v>
          </cell>
          <cell r="P83" t="str">
            <v>年　月　日</v>
          </cell>
          <cell r="AD83" t="str">
            <v>年　月　日</v>
          </cell>
          <cell r="AE83" t="str">
            <v>年　月　日</v>
          </cell>
        </row>
        <row r="84">
          <cell r="E84" t="str">
            <v>年　　月　　日</v>
          </cell>
          <cell r="H84" t="str">
            <v/>
          </cell>
          <cell r="M84" t="str">
            <v>年　月　日</v>
          </cell>
          <cell r="P84" t="str">
            <v>年　月　日</v>
          </cell>
          <cell r="AD84" t="str">
            <v>年　月　日</v>
          </cell>
          <cell r="AE84" t="str">
            <v>年　月　日</v>
          </cell>
        </row>
        <row r="85">
          <cell r="E85" t="str">
            <v>年　　月　　日</v>
          </cell>
          <cell r="H85" t="str">
            <v/>
          </cell>
          <cell r="M85" t="str">
            <v>年　月　日</v>
          </cell>
          <cell r="P85" t="str">
            <v>年　月　日</v>
          </cell>
          <cell r="AD85" t="str">
            <v>年　月　日</v>
          </cell>
          <cell r="AE85" t="str">
            <v>年　月　日</v>
          </cell>
        </row>
        <row r="86">
          <cell r="E86" t="str">
            <v>年　　月　　日</v>
          </cell>
          <cell r="H86" t="str">
            <v/>
          </cell>
          <cell r="M86" t="str">
            <v>年　月　日</v>
          </cell>
          <cell r="P86" t="str">
            <v>年　月　日</v>
          </cell>
          <cell r="AD86" t="str">
            <v>年　月　日</v>
          </cell>
          <cell r="AE86" t="str">
            <v>年　月　日</v>
          </cell>
        </row>
        <row r="87">
          <cell r="E87" t="str">
            <v>年　　月　　日</v>
          </cell>
          <cell r="H87" t="str">
            <v/>
          </cell>
          <cell r="M87" t="str">
            <v>年　月　日</v>
          </cell>
          <cell r="P87" t="str">
            <v>年　月　日</v>
          </cell>
          <cell r="AD87" t="str">
            <v>年　月　日</v>
          </cell>
          <cell r="AE87" t="str">
            <v>年　月　日</v>
          </cell>
        </row>
        <row r="88">
          <cell r="E88" t="str">
            <v>年　　月　　日</v>
          </cell>
          <cell r="H88" t="str">
            <v/>
          </cell>
          <cell r="M88" t="str">
            <v>年　月　日</v>
          </cell>
          <cell r="P88" t="str">
            <v>年　月　日</v>
          </cell>
          <cell r="AD88" t="str">
            <v>年　月　日</v>
          </cell>
          <cell r="AE88" t="str">
            <v>年　月　日</v>
          </cell>
        </row>
        <row r="89">
          <cell r="E89" t="str">
            <v>年　　月　　日</v>
          </cell>
          <cell r="H89" t="str">
            <v/>
          </cell>
          <cell r="M89" t="str">
            <v>年　月　日</v>
          </cell>
          <cell r="P89" t="str">
            <v>年　月　日</v>
          </cell>
          <cell r="AD89" t="str">
            <v>年　月　日</v>
          </cell>
          <cell r="AE89" t="str">
            <v>年　月　日</v>
          </cell>
        </row>
        <row r="90">
          <cell r="E90" t="str">
            <v>年　　月　　日</v>
          </cell>
          <cell r="H90" t="str">
            <v/>
          </cell>
          <cell r="M90" t="str">
            <v>年　月　日</v>
          </cell>
          <cell r="P90" t="str">
            <v>年　月　日</v>
          </cell>
          <cell r="AD90" t="str">
            <v>年　月　日</v>
          </cell>
          <cell r="AE90" t="str">
            <v>年　月　日</v>
          </cell>
        </row>
        <row r="91">
          <cell r="E91" t="str">
            <v>年　　月　　日</v>
          </cell>
          <cell r="H91" t="str">
            <v/>
          </cell>
          <cell r="M91" t="str">
            <v>年　月　日</v>
          </cell>
          <cell r="P91" t="str">
            <v>年　月　日</v>
          </cell>
          <cell r="AD91" t="str">
            <v>年　月　日</v>
          </cell>
          <cell r="AE91" t="str">
            <v>年　月　日</v>
          </cell>
        </row>
        <row r="92">
          <cell r="E92" t="str">
            <v>年　　月　　日</v>
          </cell>
          <cell r="H92" t="str">
            <v/>
          </cell>
          <cell r="M92" t="str">
            <v>年　月　日</v>
          </cell>
          <cell r="P92" t="str">
            <v>年　月　日</v>
          </cell>
          <cell r="AD92" t="str">
            <v>年　月　日</v>
          </cell>
          <cell r="AE92" t="str">
            <v>年　月　日</v>
          </cell>
        </row>
        <row r="93">
          <cell r="E93" t="str">
            <v>年　　月　　日</v>
          </cell>
          <cell r="H93" t="str">
            <v/>
          </cell>
          <cell r="M93" t="str">
            <v>年　月　日</v>
          </cell>
          <cell r="P93" t="str">
            <v>年　月　日</v>
          </cell>
          <cell r="AD93" t="str">
            <v>年　月　日</v>
          </cell>
          <cell r="AE93" t="str">
            <v>年　月　日</v>
          </cell>
        </row>
        <row r="94">
          <cell r="A94" t="str">
            <v>吉田　一三</v>
          </cell>
          <cell r="B94" t="str">
            <v>よしだ　いちぞう</v>
          </cell>
          <cell r="E94" t="str">
            <v>年　　月　　日</v>
          </cell>
          <cell r="G94">
            <v>26560</v>
          </cell>
          <cell r="H94">
            <v>30</v>
          </cell>
          <cell r="I94" t="str">
            <v>大阪府寝屋川市萱島東1-1-7</v>
          </cell>
          <cell r="J94" t="str">
            <v>072-820-5936</v>
          </cell>
          <cell r="K94" t="str">
            <v>同上</v>
          </cell>
          <cell r="L94" t="str">
            <v>同上</v>
          </cell>
          <cell r="M94">
            <v>37356</v>
          </cell>
          <cell r="N94" t="str">
            <v>130～79</v>
          </cell>
          <cell r="O94" t="str">
            <v>O</v>
          </cell>
          <cell r="P94" t="str">
            <v>年　月　日</v>
          </cell>
          <cell r="V94" t="str">
            <v>酸欠・有機溶剤</v>
          </cell>
          <cell r="AD94" t="str">
            <v>年　月　日</v>
          </cell>
          <cell r="AE94" t="str">
            <v>年　月　日</v>
          </cell>
        </row>
        <row r="95">
          <cell r="E95" t="str">
            <v>年　　月　　日</v>
          </cell>
          <cell r="H95" t="str">
            <v/>
          </cell>
          <cell r="M95" t="str">
            <v>年　月　日</v>
          </cell>
          <cell r="P95" t="str">
            <v>年　月　日</v>
          </cell>
          <cell r="AD95" t="str">
            <v>年　月　日</v>
          </cell>
          <cell r="AE95" t="str">
            <v>年　月　日</v>
          </cell>
        </row>
      </sheetData>
      <sheetData sheetId="3"/>
      <sheetData sheetId="4"/>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振替処理用"/>
      <sheetName val="×××追ってなおす"/>
      <sheetName val="ピボット"/>
      <sheetName val="IMダウンロード仕様"/>
      <sheetName val="IMダウンロードデータ"/>
      <sheetName val="LIST"/>
    </sheetNames>
    <sheetDataSet>
      <sheetData sheetId="0"/>
      <sheetData sheetId="1"/>
      <sheetData sheetId="2"/>
      <sheetData sheetId="3"/>
      <sheetData sheetId="4"/>
      <sheetData sheetId="5">
        <row r="3">
          <cell r="E3" t="str">
            <v xml:space="preserve">A0 </v>
          </cell>
        </row>
        <row r="4">
          <cell r="E4" t="str">
            <v xml:space="preserve">A2 </v>
          </cell>
        </row>
        <row r="5">
          <cell r="E5" t="str">
            <v xml:space="preserve">A3 </v>
          </cell>
        </row>
        <row r="6">
          <cell r="E6" t="str">
            <v xml:space="preserve">A8 </v>
          </cell>
        </row>
        <row r="7">
          <cell r="E7" t="str">
            <v xml:space="preserve">A9 </v>
          </cell>
        </row>
        <row r="8">
          <cell r="E8" t="str">
            <v xml:space="preserve">V0 </v>
          </cell>
        </row>
        <row r="9">
          <cell r="E9" t="str">
            <v xml:space="preserve">V2 </v>
          </cell>
        </row>
        <row r="10">
          <cell r="E10" t="str">
            <v xml:space="preserve">V3 </v>
          </cell>
        </row>
        <row r="11">
          <cell r="E11" t="str">
            <v xml:space="preserve">V8 </v>
          </cell>
        </row>
        <row r="12">
          <cell r="E12" t="str">
            <v xml:space="preserve">V9 </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モ (2)"/>
      <sheetName val="メモ"/>
      <sheetName val="工事稼動表"/>
    </sheetNames>
    <sheetDataSet>
      <sheetData sheetId="0"/>
      <sheetData sheetId="1" refreshError="1">
        <row r="2">
          <cell r="D2" t="str">
            <v>社宅自治会お知らせ</v>
          </cell>
          <cell r="M2">
            <v>36262.620487615743</v>
          </cell>
        </row>
        <row r="4">
          <cell r="E4" t="str">
            <v>一棟自治会会員</v>
          </cell>
          <cell r="J4" t="str">
            <v>御中</v>
          </cell>
          <cell r="M4" t="str">
            <v>平成1０年度1棟役員   赤 澤</v>
          </cell>
        </row>
        <row r="7">
          <cell r="F7" t="str">
            <v>お 知 ら せ</v>
          </cell>
        </row>
        <row r="8">
          <cell r="B8" t="str">
            <v>写</v>
          </cell>
        </row>
        <row r="10">
          <cell r="E10" t="str">
            <v>１．</v>
          </cell>
          <cell r="F10" t="str">
            <v>次期一棟役員選出</v>
          </cell>
        </row>
        <row r="11">
          <cell r="F11" t="str">
            <v xml:space="preserve">  先日実施しました時期役員選挙の開票結果</v>
          </cell>
          <cell r="M11" t="str">
            <v>（投票総数 １２票 ）</v>
          </cell>
        </row>
        <row r="12">
          <cell r="F12" t="str">
            <v xml:space="preserve">      開票  赤沢       立会     小島さん</v>
          </cell>
        </row>
        <row r="13">
          <cell r="E13" t="str">
            <v xml:space="preserve">          </v>
          </cell>
          <cell r="G13" t="str">
            <v>圃   山さん</v>
          </cell>
          <cell r="K13" t="str">
            <v>５  票</v>
          </cell>
        </row>
        <row r="14">
          <cell r="G14" t="str">
            <v>日   下さん</v>
          </cell>
          <cell r="K14" t="str">
            <v>４  票</v>
          </cell>
        </row>
        <row r="15">
          <cell r="G15" t="str">
            <v>小   島さん</v>
          </cell>
          <cell r="K15" t="str">
            <v>３  票</v>
          </cell>
        </row>
        <row r="16">
          <cell r="F16" t="str">
            <v>上記の通り次期一棟役員は圃山さんにお願いすることとなりました。</v>
          </cell>
        </row>
        <row r="17">
          <cell r="F17" t="str">
            <v>尚、自治会全体の役員は別途連絡されますので、ご協力お願いします。</v>
          </cell>
        </row>
        <row r="19">
          <cell r="E19" t="str">
            <v>２．</v>
          </cell>
          <cell r="F19" t="str">
            <v>古紙回収会計報告</v>
          </cell>
        </row>
        <row r="20">
          <cell r="N20">
            <v>36217</v>
          </cell>
        </row>
        <row r="28">
          <cell r="G28" t="str">
            <v>上記の通り相違ありません。従って次年度に \1,040-申し送りますので</v>
          </cell>
        </row>
        <row r="29">
          <cell r="G29" t="str">
            <v>宜しくお願いします。</v>
          </cell>
        </row>
        <row r="31">
          <cell r="G31" t="str">
            <v>役員期間中ご協力ありがとうございました。</v>
          </cell>
        </row>
        <row r="32">
          <cell r="J32" t="str">
            <v>平成10年度一棟役員               赤   沢</v>
          </cell>
        </row>
        <row r="34">
          <cell r="O34" t="str">
            <v>以   上</v>
          </cell>
        </row>
      </sheetData>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sheetName val="安全弁入力"/>
      <sheetName val="安全弁出力"/>
      <sheetName val="一般弁入力"/>
      <sheetName val="一般弁出力"/>
      <sheetName val="調節弁入力"/>
      <sheetName val="調節弁出力"/>
      <sheetName val="見積"/>
    </sheetNames>
    <sheetDataSet>
      <sheetData sheetId="0">
        <row r="6">
          <cell r="D6">
            <v>1</v>
          </cell>
          <cell r="E6">
            <v>2</v>
          </cell>
          <cell r="F6">
            <v>3</v>
          </cell>
          <cell r="G6">
            <v>4</v>
          </cell>
          <cell r="H6">
            <v>5</v>
          </cell>
          <cell r="I6">
            <v>6</v>
          </cell>
        </row>
        <row r="7">
          <cell r="C7">
            <v>0.5</v>
          </cell>
          <cell r="D7">
            <v>0.16</v>
          </cell>
          <cell r="E7">
            <v>0.16</v>
          </cell>
          <cell r="F7">
            <v>0.17600000000000002</v>
          </cell>
          <cell r="G7">
            <v>0.18</v>
          </cell>
          <cell r="H7">
            <v>0.22</v>
          </cell>
          <cell r="I7">
            <v>0.22</v>
          </cell>
        </row>
        <row r="8">
          <cell r="C8">
            <v>0.75</v>
          </cell>
          <cell r="D8">
            <v>0.18</v>
          </cell>
          <cell r="E8">
            <v>0.18</v>
          </cell>
          <cell r="F8">
            <v>0.19800000000000001</v>
          </cell>
          <cell r="G8">
            <v>0.2</v>
          </cell>
          <cell r="H8">
            <v>0.22</v>
          </cell>
          <cell r="I8">
            <v>0.22</v>
          </cell>
        </row>
        <row r="9">
          <cell r="C9">
            <v>1</v>
          </cell>
          <cell r="D9">
            <v>0.18</v>
          </cell>
          <cell r="E9">
            <v>0.18</v>
          </cell>
          <cell r="F9">
            <v>0.19800000000000001</v>
          </cell>
          <cell r="G9">
            <v>0.2</v>
          </cell>
          <cell r="H9">
            <v>0.26</v>
          </cell>
          <cell r="I9">
            <v>0.26</v>
          </cell>
        </row>
        <row r="10">
          <cell r="C10">
            <v>1.5</v>
          </cell>
          <cell r="D10">
            <v>0.22</v>
          </cell>
          <cell r="E10">
            <v>0.22</v>
          </cell>
          <cell r="F10">
            <v>0.24200000000000002</v>
          </cell>
          <cell r="G10">
            <v>0.24</v>
          </cell>
          <cell r="H10">
            <v>0.32</v>
          </cell>
          <cell r="I10">
            <v>0.32</v>
          </cell>
        </row>
        <row r="11">
          <cell r="C11">
            <v>2</v>
          </cell>
          <cell r="D11">
            <v>0.32</v>
          </cell>
          <cell r="E11">
            <v>0.36</v>
          </cell>
          <cell r="F11">
            <v>0.39600000000000002</v>
          </cell>
          <cell r="G11">
            <v>0.4</v>
          </cell>
          <cell r="H11">
            <v>0.54</v>
          </cell>
          <cell r="I11">
            <v>0.54</v>
          </cell>
        </row>
        <row r="12">
          <cell r="C12">
            <v>2.5</v>
          </cell>
          <cell r="D12">
            <v>0.36</v>
          </cell>
          <cell r="E12">
            <v>0.44</v>
          </cell>
          <cell r="F12">
            <v>0.48</v>
          </cell>
          <cell r="G12">
            <v>0.48</v>
          </cell>
          <cell r="H12">
            <v>0.62</v>
          </cell>
          <cell r="I12">
            <v>0.62</v>
          </cell>
        </row>
        <row r="13">
          <cell r="C13">
            <v>3</v>
          </cell>
          <cell r="D13">
            <v>0.36</v>
          </cell>
          <cell r="E13">
            <v>0.44</v>
          </cell>
          <cell r="F13">
            <v>0.48</v>
          </cell>
          <cell r="G13">
            <v>0.48</v>
          </cell>
          <cell r="H13">
            <v>0.76</v>
          </cell>
          <cell r="I13">
            <v>0.76</v>
          </cell>
        </row>
        <row r="14">
          <cell r="C14">
            <v>4</v>
          </cell>
          <cell r="D14">
            <v>0.36</v>
          </cell>
          <cell r="E14">
            <v>0.44</v>
          </cell>
          <cell r="F14">
            <v>0.48</v>
          </cell>
          <cell r="G14">
            <v>0.54</v>
          </cell>
          <cell r="H14">
            <v>0.76</v>
          </cell>
          <cell r="I14">
            <v>0.88</v>
          </cell>
        </row>
        <row r="15">
          <cell r="C15">
            <v>5</v>
          </cell>
          <cell r="D15">
            <v>0.44</v>
          </cell>
          <cell r="E15">
            <v>0.44</v>
          </cell>
          <cell r="F15">
            <v>0.48</v>
          </cell>
          <cell r="G15">
            <v>0.62</v>
          </cell>
          <cell r="H15">
            <v>0.88</v>
          </cell>
          <cell r="I15">
            <v>1.1599999999999999</v>
          </cell>
        </row>
        <row r="16">
          <cell r="C16">
            <v>6</v>
          </cell>
          <cell r="D16">
            <v>0.44</v>
          </cell>
          <cell r="E16">
            <v>0.66</v>
          </cell>
          <cell r="F16">
            <v>0.72</v>
          </cell>
          <cell r="G16">
            <v>0.94</v>
          </cell>
          <cell r="H16">
            <v>1.1399999999999999</v>
          </cell>
          <cell r="I16">
            <v>1.54</v>
          </cell>
        </row>
        <row r="17">
          <cell r="C17">
            <v>8</v>
          </cell>
          <cell r="D17">
            <v>0.44</v>
          </cell>
          <cell r="E17">
            <v>0.8</v>
          </cell>
          <cell r="F17">
            <v>0.88</v>
          </cell>
          <cell r="G17">
            <v>1.1399999999999999</v>
          </cell>
          <cell r="H17">
            <v>1.54</v>
          </cell>
          <cell r="I17">
            <v>2</v>
          </cell>
        </row>
        <row r="18">
          <cell r="C18">
            <v>10</v>
          </cell>
          <cell r="D18">
            <v>0.8</v>
          </cell>
          <cell r="E18">
            <v>1.24</v>
          </cell>
          <cell r="F18">
            <v>1.3640000000000001</v>
          </cell>
          <cell r="G18">
            <v>1.78</v>
          </cell>
          <cell r="H18">
            <v>2.04</v>
          </cell>
          <cell r="I18">
            <v>2.74</v>
          </cell>
        </row>
        <row r="19">
          <cell r="C19">
            <v>12</v>
          </cell>
          <cell r="D19">
            <v>0.8</v>
          </cell>
          <cell r="E19">
            <v>1.52</v>
          </cell>
          <cell r="F19">
            <v>1.6720000000000002</v>
          </cell>
          <cell r="G19">
            <v>2.2200000000000002</v>
          </cell>
          <cell r="H19">
            <v>2.56</v>
          </cell>
          <cell r="I19">
            <v>4.26</v>
          </cell>
        </row>
        <row r="20">
          <cell r="C20">
            <v>14</v>
          </cell>
          <cell r="D20">
            <v>0.94</v>
          </cell>
          <cell r="E20">
            <v>1.88</v>
          </cell>
          <cell r="F20">
            <v>2.0680000000000001</v>
          </cell>
          <cell r="G20">
            <v>2.56</v>
          </cell>
          <cell r="H20">
            <v>2.88</v>
          </cell>
          <cell r="I20">
            <v>4.9800000000000004</v>
          </cell>
        </row>
        <row r="21">
          <cell r="C21">
            <v>16</v>
          </cell>
          <cell r="D21">
            <v>1.24</v>
          </cell>
          <cell r="E21">
            <v>2.2200000000000002</v>
          </cell>
          <cell r="F21">
            <v>2.4420000000000006</v>
          </cell>
          <cell r="G21">
            <v>2.88</v>
          </cell>
          <cell r="H21">
            <v>3.34</v>
          </cell>
        </row>
        <row r="22">
          <cell r="C22">
            <v>18</v>
          </cell>
          <cell r="D22">
            <v>1.52</v>
          </cell>
          <cell r="E22">
            <v>2.66</v>
          </cell>
          <cell r="F22">
            <v>2.9260000000000006</v>
          </cell>
          <cell r="G22">
            <v>3.34</v>
          </cell>
          <cell r="H22">
            <v>4.5599999999999996</v>
          </cell>
        </row>
        <row r="23">
          <cell r="C23">
            <v>20</v>
          </cell>
          <cell r="D23">
            <v>1.88</v>
          </cell>
          <cell r="E23">
            <v>2.66</v>
          </cell>
          <cell r="F23">
            <v>2.9260000000000006</v>
          </cell>
          <cell r="G23">
            <v>4</v>
          </cell>
          <cell r="H23">
            <v>5.34</v>
          </cell>
        </row>
        <row r="24">
          <cell r="C24">
            <v>24</v>
          </cell>
          <cell r="D24">
            <v>2.2200000000000002</v>
          </cell>
          <cell r="E24">
            <v>3.46</v>
          </cell>
          <cell r="F24">
            <v>3.806</v>
          </cell>
          <cell r="G24">
            <v>5.46</v>
          </cell>
          <cell r="H24">
            <v>7.22</v>
          </cell>
        </row>
      </sheetData>
      <sheetData sheetId="1"/>
      <sheetData sheetId="2"/>
      <sheetData sheetId="3"/>
      <sheetData sheetId="4"/>
      <sheetData sheetId="5"/>
      <sheetData sheetId="6"/>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積算BASE"/>
      <sheetName val="UNIT"/>
      <sheetName val="入力"/>
      <sheetName val="出力詳細"/>
      <sheetName val="出力"/>
    </sheetNames>
    <sheetDataSet>
      <sheetData sheetId="0" refreshError="1"/>
      <sheetData sheetId="1">
        <row r="38">
          <cell r="D38">
            <v>1</v>
          </cell>
          <cell r="E38">
            <v>2</v>
          </cell>
          <cell r="F38">
            <v>3</v>
          </cell>
        </row>
        <row r="39">
          <cell r="B39">
            <v>5</v>
          </cell>
          <cell r="D39">
            <v>25</v>
          </cell>
          <cell r="E39">
            <v>25</v>
          </cell>
          <cell r="F39">
            <v>45</v>
          </cell>
        </row>
        <row r="40">
          <cell r="B40">
            <v>7.5</v>
          </cell>
          <cell r="D40">
            <v>25</v>
          </cell>
          <cell r="E40">
            <v>25</v>
          </cell>
          <cell r="F40">
            <v>45</v>
          </cell>
        </row>
        <row r="41">
          <cell r="B41">
            <v>10</v>
          </cell>
          <cell r="D41">
            <v>25</v>
          </cell>
          <cell r="E41">
            <v>25</v>
          </cell>
          <cell r="F41">
            <v>45</v>
          </cell>
        </row>
        <row r="42">
          <cell r="B42">
            <v>12.5</v>
          </cell>
          <cell r="D42">
            <v>25</v>
          </cell>
          <cell r="E42">
            <v>25</v>
          </cell>
          <cell r="F42">
            <v>45</v>
          </cell>
        </row>
        <row r="43">
          <cell r="B43">
            <v>15</v>
          </cell>
          <cell r="D43">
            <v>25</v>
          </cell>
          <cell r="E43">
            <v>45</v>
          </cell>
          <cell r="F43">
            <v>45</v>
          </cell>
        </row>
        <row r="44">
          <cell r="B44">
            <v>20</v>
          </cell>
          <cell r="D44">
            <v>45</v>
          </cell>
          <cell r="E44">
            <v>45</v>
          </cell>
          <cell r="F44">
            <v>100</v>
          </cell>
        </row>
      </sheetData>
      <sheetData sheetId="2"/>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13年度ＳＤ補修費実績予測"/>
      <sheetName val="Ｈ１４＿NMOC定義ＳＤ補修費予算"/>
      <sheetName val="Ｈ１５＿NMOC定義ＳＤ補修費予算"/>
      <sheetName val="Ｈ１６＿NMOC定義ＳＤ補修費予算"/>
      <sheetName val="H13_更新投資.XLS"/>
      <sheetName val="大阪 更新リスト(中計説明バックアップ資料を修正）"/>
      <sheetName val="大阪 更新経費（解体撤去など）リスト"/>
      <sheetName val="H13_一般補修.XLS"/>
      <sheetName val="H14-H16年度 一般補修計画分"/>
      <sheetName val="H13年度ﾀﾝｸ定検修正予算"/>
      <sheetName val="H14定検予算"/>
      <sheetName val="H15定検予算"/>
      <sheetName val="H16定検予算"/>
      <sheetName val="コンピュ－タ関係保守料"/>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ow r="146">
          <cell r="P146">
            <v>7.6380000000000003E-2</v>
          </cell>
        </row>
      </sheetData>
      <sheetData sheetId="9" refreshError="1"/>
      <sheetData sheetId="10" refreshError="1"/>
      <sheetData sheetId="11"/>
      <sheetData sheetId="12"/>
      <sheetData sheetId="1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EC2C-BDE0-48E1-B400-8ACE5CEE5B0B}">
  <sheetPr>
    <pageSetUpPr fitToPage="1"/>
  </sheetPr>
  <dimension ref="A1:AJ21"/>
  <sheetViews>
    <sheetView showGridLines="0" tabSelected="1" zoomScale="93" zoomScaleNormal="93" workbookViewId="0">
      <selection activeCell="T18" sqref="T18"/>
    </sheetView>
  </sheetViews>
  <sheetFormatPr defaultColWidth="9" defaultRowHeight="11.25" x14ac:dyDescent="0.15"/>
  <cols>
    <col min="1" max="1" width="1.875" style="23" customWidth="1"/>
    <col min="2" max="2" width="10.5" style="23" customWidth="1"/>
    <col min="3" max="3" width="9.5" style="23" customWidth="1"/>
    <col min="4" max="4" width="14.875" style="2" customWidth="1"/>
    <col min="5" max="5" width="9.625" style="2" customWidth="1"/>
    <col min="6" max="6" width="9.5" style="2" customWidth="1"/>
    <col min="7" max="8" width="9.625" style="2" customWidth="1"/>
    <col min="9" max="9" width="6.75" style="2" customWidth="1"/>
    <col min="10" max="15" width="9.625" style="2" customWidth="1"/>
    <col min="16" max="16" width="6.5" style="2" customWidth="1"/>
    <col min="17" max="17" width="9.625" style="2" customWidth="1"/>
    <col min="18" max="18" width="3" style="2" customWidth="1"/>
    <col min="19" max="19" width="9.125" style="2" customWidth="1"/>
    <col min="20" max="20" width="26.125" style="13" bestFit="1" customWidth="1"/>
    <col min="21" max="35" width="9.625" style="3" customWidth="1"/>
    <col min="36" max="36" width="9" style="3"/>
    <col min="37" max="16384" width="9" style="2"/>
  </cols>
  <sheetData>
    <row r="1" spans="1:36" s="27" customFormat="1" ht="24.95" customHeight="1" x14ac:dyDescent="0.2">
      <c r="B1" s="28" t="s">
        <v>15</v>
      </c>
      <c r="C1" s="29"/>
      <c r="D1" s="29"/>
      <c r="E1" s="29"/>
      <c r="F1" s="29"/>
      <c r="G1" s="29"/>
      <c r="H1" s="29"/>
      <c r="I1" s="29"/>
      <c r="J1" s="29"/>
      <c r="K1" s="47"/>
      <c r="L1" s="47"/>
      <c r="M1" s="47"/>
      <c r="N1" s="47"/>
      <c r="O1" s="29"/>
      <c r="P1" s="29"/>
      <c r="Q1" s="29"/>
      <c r="R1" s="29"/>
      <c r="S1" s="30"/>
      <c r="T1" s="31"/>
      <c r="U1" s="32"/>
      <c r="V1" s="33"/>
      <c r="W1" s="32"/>
      <c r="X1" s="32"/>
      <c r="Y1" s="32"/>
      <c r="Z1" s="32"/>
      <c r="AA1" s="32"/>
      <c r="AB1" s="32"/>
      <c r="AC1" s="32"/>
      <c r="AD1" s="32"/>
      <c r="AE1" s="32"/>
      <c r="AF1" s="32"/>
      <c r="AG1" s="32"/>
      <c r="AH1" s="32"/>
      <c r="AI1" s="32"/>
      <c r="AJ1" s="32"/>
    </row>
    <row r="2" spans="1:36" s="34" customFormat="1" ht="24.75" customHeight="1" thickBot="1" x14ac:dyDescent="0.2">
      <c r="B2" s="35"/>
      <c r="C2" s="36"/>
      <c r="D2" s="36"/>
      <c r="E2" s="36"/>
      <c r="F2" s="37"/>
      <c r="G2" s="37"/>
      <c r="H2" s="37"/>
      <c r="I2" s="37"/>
      <c r="J2" s="29"/>
      <c r="K2" s="29"/>
      <c r="L2" s="29"/>
      <c r="M2" s="29"/>
      <c r="N2" s="29"/>
      <c r="O2" s="29"/>
      <c r="P2" s="29"/>
      <c r="Q2" s="29"/>
      <c r="R2" s="29"/>
      <c r="T2" s="38"/>
      <c r="U2" s="38"/>
      <c r="V2" s="38"/>
      <c r="W2" s="38"/>
      <c r="X2" s="38"/>
      <c r="Y2" s="38"/>
      <c r="Z2" s="38"/>
      <c r="AA2" s="38"/>
      <c r="AB2" s="38"/>
      <c r="AC2" s="38"/>
      <c r="AD2" s="38"/>
      <c r="AE2" s="38"/>
      <c r="AF2" s="38"/>
      <c r="AG2" s="38"/>
      <c r="AH2" s="38"/>
      <c r="AI2" s="38"/>
      <c r="AJ2" s="38"/>
    </row>
    <row r="3" spans="1:36" s="29" customFormat="1" ht="30.75" customHeight="1" thickTop="1" thickBot="1" x14ac:dyDescent="0.2">
      <c r="B3" s="74" t="s">
        <v>0</v>
      </c>
      <c r="C3" s="75" t="s">
        <v>3</v>
      </c>
      <c r="D3" s="75" t="s">
        <v>4</v>
      </c>
      <c r="E3" s="75" t="s">
        <v>5</v>
      </c>
      <c r="F3" s="75" t="s">
        <v>6</v>
      </c>
      <c r="G3" s="75" t="s">
        <v>7</v>
      </c>
      <c r="H3" s="75" t="s">
        <v>8</v>
      </c>
      <c r="I3" s="75" t="s">
        <v>1</v>
      </c>
      <c r="J3" s="75" t="s">
        <v>9</v>
      </c>
      <c r="K3" s="75" t="s">
        <v>10</v>
      </c>
      <c r="L3" s="75" t="s">
        <v>11</v>
      </c>
      <c r="M3" s="75" t="s">
        <v>12</v>
      </c>
      <c r="N3" s="75" t="s">
        <v>13</v>
      </c>
      <c r="O3" s="75" t="s">
        <v>14</v>
      </c>
      <c r="P3" s="76" t="s">
        <v>2</v>
      </c>
      <c r="Q3" s="77" t="s">
        <v>18</v>
      </c>
      <c r="R3" s="39"/>
      <c r="T3" s="40"/>
      <c r="U3" s="40"/>
      <c r="V3" s="40"/>
      <c r="W3" s="40"/>
      <c r="X3" s="40"/>
      <c r="Y3" s="40"/>
      <c r="Z3" s="40"/>
      <c r="AA3" s="40"/>
      <c r="AB3" s="40"/>
      <c r="AC3" s="40"/>
      <c r="AD3" s="40"/>
      <c r="AE3" s="40"/>
      <c r="AF3" s="40"/>
      <c r="AG3" s="40"/>
      <c r="AH3" s="40"/>
      <c r="AI3" s="40"/>
      <c r="AJ3" s="40"/>
    </row>
    <row r="4" spans="1:36" s="1" customFormat="1" ht="20.100000000000001" customHeight="1" thickTop="1" x14ac:dyDescent="0.15">
      <c r="A4" s="22"/>
      <c r="B4" s="69" t="s">
        <v>17</v>
      </c>
      <c r="C4" s="70">
        <v>10</v>
      </c>
      <c r="D4" s="71">
        <v>10</v>
      </c>
      <c r="E4" s="71">
        <v>10</v>
      </c>
      <c r="F4" s="71">
        <v>10</v>
      </c>
      <c r="G4" s="71">
        <v>10</v>
      </c>
      <c r="H4" s="71">
        <v>10</v>
      </c>
      <c r="I4" s="71">
        <f>SUM(C4:H4)</f>
        <v>60</v>
      </c>
      <c r="J4" s="71">
        <v>10</v>
      </c>
      <c r="K4" s="71">
        <v>10</v>
      </c>
      <c r="L4" s="71">
        <v>10</v>
      </c>
      <c r="M4" s="71">
        <v>10</v>
      </c>
      <c r="N4" s="71">
        <v>10</v>
      </c>
      <c r="O4" s="71">
        <v>10</v>
      </c>
      <c r="P4" s="72">
        <f>SUM(J4:O4)</f>
        <v>60</v>
      </c>
      <c r="Q4" s="73">
        <f>I4+P4</f>
        <v>120</v>
      </c>
      <c r="R4" s="4"/>
      <c r="T4" s="5"/>
      <c r="U4" s="5"/>
      <c r="V4" s="5"/>
      <c r="W4" s="5"/>
      <c r="X4" s="5"/>
      <c r="Y4" s="5"/>
      <c r="Z4" s="5"/>
      <c r="AA4" s="5"/>
      <c r="AB4" s="5"/>
      <c r="AC4" s="5"/>
      <c r="AD4" s="5"/>
      <c r="AE4" s="5"/>
      <c r="AF4" s="5"/>
      <c r="AG4" s="5"/>
      <c r="AH4" s="5"/>
      <c r="AI4" s="5"/>
      <c r="AJ4" s="5"/>
    </row>
    <row r="5" spans="1:36" s="1" customFormat="1" ht="20.100000000000001" customHeight="1" x14ac:dyDescent="0.15">
      <c r="A5" s="22"/>
      <c r="B5" s="63" t="s">
        <v>19</v>
      </c>
      <c r="C5" s="42">
        <v>15</v>
      </c>
      <c r="D5" s="43">
        <v>15</v>
      </c>
      <c r="E5" s="43">
        <v>15</v>
      </c>
      <c r="F5" s="43">
        <v>15</v>
      </c>
      <c r="G5" s="43">
        <v>15</v>
      </c>
      <c r="H5" s="43">
        <v>15</v>
      </c>
      <c r="I5" s="43">
        <f t="shared" ref="I5:I7" si="0">SUM(C5:H5)</f>
        <v>90</v>
      </c>
      <c r="J5" s="43">
        <v>15</v>
      </c>
      <c r="K5" s="43">
        <v>15</v>
      </c>
      <c r="L5" s="43">
        <v>15</v>
      </c>
      <c r="M5" s="43">
        <v>15</v>
      </c>
      <c r="N5" s="43">
        <v>15</v>
      </c>
      <c r="O5" s="43">
        <v>15</v>
      </c>
      <c r="P5" s="44">
        <f t="shared" ref="P5:P7" si="1">SUM(J5:O5)</f>
        <v>90</v>
      </c>
      <c r="Q5" s="64">
        <f t="shared" ref="Q5:Q7" si="2">I5+P5</f>
        <v>180</v>
      </c>
      <c r="R5" s="4"/>
      <c r="T5" s="5"/>
      <c r="U5" s="5"/>
      <c r="V5" s="5"/>
      <c r="W5" s="5"/>
      <c r="X5" s="5"/>
      <c r="Y5" s="5"/>
      <c r="Z5" s="5"/>
      <c r="AA5" s="5"/>
      <c r="AB5" s="5"/>
      <c r="AC5" s="5"/>
      <c r="AD5" s="5"/>
      <c r="AE5" s="5"/>
      <c r="AF5" s="5"/>
      <c r="AG5" s="5"/>
      <c r="AH5" s="5"/>
      <c r="AI5" s="5"/>
      <c r="AJ5" s="5"/>
    </row>
    <row r="6" spans="1:36" s="1" customFormat="1" ht="20.100000000000001" customHeight="1" x14ac:dyDescent="0.15">
      <c r="A6" s="22"/>
      <c r="B6" s="63" t="s">
        <v>20</v>
      </c>
      <c r="C6" s="42">
        <v>20</v>
      </c>
      <c r="D6" s="43">
        <v>20</v>
      </c>
      <c r="E6" s="43">
        <v>20</v>
      </c>
      <c r="F6" s="43">
        <v>20</v>
      </c>
      <c r="G6" s="43">
        <v>20</v>
      </c>
      <c r="H6" s="43">
        <v>20</v>
      </c>
      <c r="I6" s="43">
        <f t="shared" si="0"/>
        <v>120</v>
      </c>
      <c r="J6" s="43">
        <v>20</v>
      </c>
      <c r="K6" s="43">
        <v>20</v>
      </c>
      <c r="L6" s="43">
        <v>20</v>
      </c>
      <c r="M6" s="43">
        <v>20</v>
      </c>
      <c r="N6" s="43">
        <v>20</v>
      </c>
      <c r="O6" s="43">
        <v>20</v>
      </c>
      <c r="P6" s="44">
        <f t="shared" si="1"/>
        <v>120</v>
      </c>
      <c r="Q6" s="64">
        <f t="shared" si="2"/>
        <v>240</v>
      </c>
      <c r="R6" s="4"/>
      <c r="T6" s="5"/>
      <c r="U6" s="5"/>
      <c r="V6" s="5"/>
      <c r="W6" s="5"/>
      <c r="X6" s="5"/>
      <c r="Y6" s="5"/>
      <c r="Z6" s="5"/>
      <c r="AA6" s="5"/>
      <c r="AB6" s="5"/>
      <c r="AC6" s="5"/>
      <c r="AD6" s="5"/>
      <c r="AE6" s="5"/>
      <c r="AF6" s="5"/>
      <c r="AG6" s="5"/>
      <c r="AH6" s="5"/>
      <c r="AI6" s="5"/>
      <c r="AJ6" s="5"/>
    </row>
    <row r="7" spans="1:36" s="1" customFormat="1" ht="20.100000000000001" customHeight="1" x14ac:dyDescent="0.15">
      <c r="A7" s="22"/>
      <c r="B7" s="63"/>
      <c r="C7" s="42"/>
      <c r="D7" s="43"/>
      <c r="E7" s="43"/>
      <c r="F7" s="43"/>
      <c r="G7" s="43"/>
      <c r="H7" s="43"/>
      <c r="I7" s="43">
        <f t="shared" si="0"/>
        <v>0</v>
      </c>
      <c r="J7" s="43"/>
      <c r="K7" s="43"/>
      <c r="L7" s="43"/>
      <c r="M7" s="43"/>
      <c r="N7" s="43"/>
      <c r="O7" s="43"/>
      <c r="P7" s="44">
        <f t="shared" si="1"/>
        <v>0</v>
      </c>
      <c r="Q7" s="64">
        <f t="shared" si="2"/>
        <v>0</v>
      </c>
      <c r="R7" s="4"/>
      <c r="T7" s="5"/>
      <c r="U7" s="5"/>
      <c r="V7" s="5"/>
      <c r="W7" s="5"/>
      <c r="X7" s="5"/>
      <c r="Y7" s="5"/>
      <c r="Z7" s="5"/>
      <c r="AA7" s="5"/>
      <c r="AB7" s="5"/>
      <c r="AC7" s="5"/>
      <c r="AD7" s="5"/>
      <c r="AE7" s="5"/>
      <c r="AF7" s="5"/>
      <c r="AG7" s="5"/>
      <c r="AH7" s="5"/>
      <c r="AI7" s="5"/>
      <c r="AJ7" s="5"/>
    </row>
    <row r="8" spans="1:36" s="1" customFormat="1" ht="20.100000000000001" customHeight="1" thickBot="1" x14ac:dyDescent="0.2">
      <c r="A8" s="22"/>
      <c r="B8" s="65" t="s">
        <v>16</v>
      </c>
      <c r="C8" s="66">
        <f>SUM(C4:C7)</f>
        <v>45</v>
      </c>
      <c r="D8" s="67">
        <f t="shared" ref="D8:Q8" si="3">SUM(D4:D7)</f>
        <v>45</v>
      </c>
      <c r="E8" s="67">
        <f t="shared" si="3"/>
        <v>45</v>
      </c>
      <c r="F8" s="67">
        <f t="shared" si="3"/>
        <v>45</v>
      </c>
      <c r="G8" s="67">
        <f t="shared" si="3"/>
        <v>45</v>
      </c>
      <c r="H8" s="67">
        <f t="shared" si="3"/>
        <v>45</v>
      </c>
      <c r="I8" s="67">
        <f t="shared" si="3"/>
        <v>270</v>
      </c>
      <c r="J8" s="67">
        <f t="shared" si="3"/>
        <v>45</v>
      </c>
      <c r="K8" s="67">
        <f t="shared" si="3"/>
        <v>45</v>
      </c>
      <c r="L8" s="67">
        <f t="shared" si="3"/>
        <v>45</v>
      </c>
      <c r="M8" s="67">
        <f t="shared" si="3"/>
        <v>45</v>
      </c>
      <c r="N8" s="67">
        <f t="shared" si="3"/>
        <v>45</v>
      </c>
      <c r="O8" s="67">
        <f t="shared" si="3"/>
        <v>45</v>
      </c>
      <c r="P8" s="67">
        <f t="shared" si="3"/>
        <v>270</v>
      </c>
      <c r="Q8" s="68">
        <f t="shared" si="3"/>
        <v>540</v>
      </c>
      <c r="R8" s="4"/>
      <c r="T8" s="5"/>
      <c r="U8" s="5"/>
      <c r="V8" s="5"/>
      <c r="W8" s="5"/>
      <c r="X8" s="5"/>
      <c r="Y8" s="5"/>
      <c r="Z8" s="5"/>
      <c r="AA8" s="5"/>
      <c r="AB8" s="5"/>
      <c r="AC8" s="5"/>
      <c r="AD8" s="5"/>
      <c r="AE8" s="5"/>
      <c r="AF8" s="5"/>
      <c r="AG8" s="5"/>
      <c r="AH8" s="5"/>
      <c r="AI8" s="5"/>
      <c r="AJ8" s="5"/>
    </row>
    <row r="9" spans="1:36" s="6" customFormat="1" ht="24.95" customHeight="1" thickTop="1" x14ac:dyDescent="0.15">
      <c r="A9" s="24"/>
      <c r="B9" s="24"/>
      <c r="C9" s="25"/>
      <c r="D9" s="7"/>
      <c r="E9" s="7"/>
      <c r="F9" s="7"/>
      <c r="G9" s="7"/>
      <c r="H9" s="7"/>
      <c r="J9" s="7"/>
      <c r="K9" s="7"/>
      <c r="L9" s="7"/>
      <c r="M9" s="7"/>
      <c r="N9" s="7"/>
      <c r="O9" s="7"/>
      <c r="R9" s="8"/>
      <c r="S9" s="9"/>
      <c r="T9" s="10"/>
      <c r="U9" s="11"/>
      <c r="V9" s="12"/>
      <c r="W9" s="10"/>
      <c r="X9" s="11"/>
      <c r="Y9" s="10"/>
      <c r="Z9" s="10"/>
      <c r="AA9" s="10"/>
      <c r="AB9" s="10"/>
      <c r="AC9" s="10"/>
      <c r="AD9" s="10"/>
      <c r="AE9" s="10"/>
      <c r="AF9" s="10"/>
      <c r="AG9" s="10"/>
      <c r="AH9" s="10"/>
      <c r="AI9" s="10"/>
      <c r="AJ9" s="10"/>
    </row>
    <row r="10" spans="1:36" s="19" customFormat="1" ht="18" customHeight="1" thickBot="1" x14ac:dyDescent="0.2">
      <c r="A10" s="14"/>
      <c r="B10" s="15" t="s">
        <v>21</v>
      </c>
      <c r="C10" s="16"/>
      <c r="D10" s="16"/>
      <c r="E10" s="17"/>
      <c r="F10" s="18"/>
      <c r="G10" s="17"/>
      <c r="T10" s="20"/>
      <c r="U10" s="21"/>
      <c r="V10" s="21"/>
      <c r="W10" s="21"/>
      <c r="X10" s="21"/>
      <c r="Y10" s="21"/>
      <c r="Z10" s="21"/>
      <c r="AA10" s="21"/>
      <c r="AB10" s="21"/>
      <c r="AC10" s="21"/>
      <c r="AD10" s="21"/>
      <c r="AE10" s="21"/>
      <c r="AF10" s="21"/>
      <c r="AG10" s="21"/>
      <c r="AH10" s="21"/>
      <c r="AI10" s="21"/>
      <c r="AJ10" s="21"/>
    </row>
    <row r="11" spans="1:36" s="51" customFormat="1" ht="30" customHeight="1" thickTop="1" thickBot="1" x14ac:dyDescent="0.2">
      <c r="A11" s="50"/>
      <c r="B11" s="83" t="s">
        <v>22</v>
      </c>
      <c r="C11" s="84" t="s">
        <v>23</v>
      </c>
      <c r="D11" s="85" t="s">
        <v>24</v>
      </c>
      <c r="E11" s="86" t="s">
        <v>25</v>
      </c>
      <c r="F11" s="87"/>
      <c r="G11" s="88" t="s">
        <v>26</v>
      </c>
      <c r="T11" s="52"/>
      <c r="U11" s="52"/>
      <c r="V11" s="52"/>
      <c r="W11" s="52"/>
      <c r="X11" s="52"/>
      <c r="Y11" s="52"/>
      <c r="Z11" s="52"/>
      <c r="AA11" s="52"/>
      <c r="AB11" s="52"/>
      <c r="AC11" s="52"/>
      <c r="AD11" s="52"/>
      <c r="AE11" s="52"/>
      <c r="AF11" s="52"/>
      <c r="AG11" s="52"/>
      <c r="AH11" s="52"/>
      <c r="AI11" s="52"/>
      <c r="AJ11" s="52"/>
    </row>
    <row r="12" spans="1:36" ht="18" customHeight="1" thickTop="1" x14ac:dyDescent="0.15">
      <c r="A12" s="26"/>
      <c r="B12" s="78">
        <v>2025</v>
      </c>
      <c r="C12" s="79">
        <v>4</v>
      </c>
      <c r="D12" s="80" t="s">
        <v>29</v>
      </c>
      <c r="E12" s="81" t="s">
        <v>27</v>
      </c>
      <c r="F12" s="82"/>
      <c r="G12" s="54">
        <v>5000</v>
      </c>
    </row>
    <row r="13" spans="1:36" ht="18" customHeight="1" x14ac:dyDescent="0.15">
      <c r="A13" s="26"/>
      <c r="B13" s="53">
        <v>2025</v>
      </c>
      <c r="C13" s="45">
        <v>5</v>
      </c>
      <c r="D13" s="46" t="s">
        <v>30</v>
      </c>
      <c r="E13" s="48" t="s">
        <v>27</v>
      </c>
      <c r="F13" s="49"/>
      <c r="G13" s="54">
        <v>4000</v>
      </c>
    </row>
    <row r="14" spans="1:36" ht="18" customHeight="1" x14ac:dyDescent="0.15">
      <c r="A14" s="26"/>
      <c r="B14" s="53">
        <v>2025</v>
      </c>
      <c r="C14" s="45">
        <v>6</v>
      </c>
      <c r="D14" s="46" t="s">
        <v>31</v>
      </c>
      <c r="E14" s="48" t="s">
        <v>27</v>
      </c>
      <c r="F14" s="49"/>
      <c r="G14" s="54">
        <v>6000</v>
      </c>
    </row>
    <row r="15" spans="1:36" ht="18" customHeight="1" x14ac:dyDescent="0.15">
      <c r="A15" s="26"/>
      <c r="B15" s="53">
        <v>2025</v>
      </c>
      <c r="C15" s="45">
        <v>7</v>
      </c>
      <c r="D15" s="46" t="s">
        <v>32</v>
      </c>
      <c r="E15" s="48" t="s">
        <v>27</v>
      </c>
      <c r="F15" s="49"/>
      <c r="G15" s="54">
        <v>7000</v>
      </c>
    </row>
    <row r="16" spans="1:36" ht="18" customHeight="1" x14ac:dyDescent="0.15">
      <c r="A16" s="26"/>
      <c r="B16" s="53">
        <v>2025</v>
      </c>
      <c r="C16" s="45">
        <v>8</v>
      </c>
      <c r="D16" s="46" t="s">
        <v>33</v>
      </c>
      <c r="E16" s="48" t="s">
        <v>27</v>
      </c>
      <c r="F16" s="49"/>
      <c r="G16" s="55">
        <v>30000</v>
      </c>
    </row>
    <row r="17" spans="1:10" ht="18" customHeight="1" x14ac:dyDescent="0.15">
      <c r="A17" s="26"/>
      <c r="B17" s="56">
        <v>2026</v>
      </c>
      <c r="C17" s="45">
        <v>1</v>
      </c>
      <c r="D17" s="46" t="s">
        <v>34</v>
      </c>
      <c r="E17" s="48" t="s">
        <v>27</v>
      </c>
      <c r="F17" s="49"/>
      <c r="G17" s="55">
        <v>2000</v>
      </c>
      <c r="J17" s="41"/>
    </row>
    <row r="18" spans="1:10" ht="18" customHeight="1" x14ac:dyDescent="0.15">
      <c r="A18" s="26"/>
      <c r="B18" s="56">
        <v>2026</v>
      </c>
      <c r="C18" s="45">
        <v>2</v>
      </c>
      <c r="D18" s="46" t="s">
        <v>35</v>
      </c>
      <c r="E18" s="48" t="s">
        <v>28</v>
      </c>
      <c r="F18" s="49"/>
      <c r="G18" s="55"/>
    </row>
    <row r="19" spans="1:10" ht="18" customHeight="1" x14ac:dyDescent="0.15">
      <c r="A19" s="26"/>
      <c r="B19" s="56">
        <v>2026</v>
      </c>
      <c r="C19" s="45">
        <v>3</v>
      </c>
      <c r="D19" s="46" t="s">
        <v>36</v>
      </c>
      <c r="E19" s="48" t="s">
        <v>28</v>
      </c>
      <c r="F19" s="49"/>
      <c r="G19" s="55"/>
    </row>
    <row r="20" spans="1:10" ht="18" customHeight="1" thickBot="1" x14ac:dyDescent="0.2">
      <c r="A20" s="26"/>
      <c r="B20" s="57"/>
      <c r="C20" s="58"/>
      <c r="D20" s="59"/>
      <c r="E20" s="60"/>
      <c r="F20" s="61"/>
      <c r="G20" s="62"/>
    </row>
    <row r="21" spans="1:10" ht="12" thickTop="1" x14ac:dyDescent="0.15"/>
  </sheetData>
  <mergeCells count="11">
    <mergeCell ref="K1:N1"/>
    <mergeCell ref="E20:F20"/>
    <mergeCell ref="E18:F18"/>
    <mergeCell ref="E11:F11"/>
    <mergeCell ref="E12:F12"/>
    <mergeCell ref="E13:F13"/>
    <mergeCell ref="E14:F14"/>
    <mergeCell ref="E15:F15"/>
    <mergeCell ref="E16:F16"/>
    <mergeCell ref="E17:F17"/>
    <mergeCell ref="E19:F19"/>
  </mergeCells>
  <phoneticPr fontId="7"/>
  <dataValidations count="1">
    <dataValidation type="list" allowBlank="1" showInputMessage="1" showErrorMessage="1" sqref="E12:F20" xr:uid="{C127FE21-2A42-42C0-B64F-1501BB44B1AA}">
      <formula1>"取得,除却,　　"</formula1>
    </dataValidation>
  </dataValidations>
  <pageMargins left="0.19685039370078741" right="0" top="0.39370078740157483" bottom="0.19685039370078741" header="0.51181102362204722" footer="0.19685039370078741"/>
  <pageSetup paperSize="9" scale="67"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8C4A440474F60409A2EE6659CFB7F1C" ma:contentTypeVersion="13" ma:contentTypeDescription="新しいドキュメントを作成します。" ma:contentTypeScope="" ma:versionID="f0cd85ef86875205cd227813e7befe26">
  <xsd:schema xmlns:xsd="http://www.w3.org/2001/XMLSchema" xmlns:xs="http://www.w3.org/2001/XMLSchema" xmlns:p="http://schemas.microsoft.com/office/2006/metadata/properties" xmlns:ns2="2fa2ca59-c8f7-4286-a15c-1d596df93a93" xmlns:ns3="798f16ab-5b94-4383-b991-fd30b24dfbf2" targetNamespace="http://schemas.microsoft.com/office/2006/metadata/properties" ma:root="true" ma:fieldsID="d4369f7b26f264958bfcc73794516674" ns2:_="" ns3:_="">
    <xsd:import namespace="2fa2ca59-c8f7-4286-a15c-1d596df93a93"/>
    <xsd:import namespace="798f16ab-5b94-4383-b991-fd30b24dfbf2"/>
    <xsd:element name="properties">
      <xsd:complexType>
        <xsd:sequence>
          <xsd:element name="documentManagement">
            <xsd:complexType>
              <xsd:all>
                <xsd:element ref="ns2:CategoryTag1" minOccurs="0"/>
                <xsd:element ref="ns2:CategoryTag2" minOccurs="0"/>
                <xsd:element ref="ns2:CategoryTag3"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2ca59-c8f7-4286-a15c-1d596df93a93" elementFormDefault="qualified">
    <xsd:import namespace="http://schemas.microsoft.com/office/2006/documentManagement/types"/>
    <xsd:import namespace="http://schemas.microsoft.com/office/infopath/2007/PartnerControls"/>
    <xsd:element name="CategoryTag1" ma:index="8" nillable="true" ma:displayName="Tag1" ma:internalName="CategoryTag1">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CategoryTag2" ma:index="9" nillable="true" ma:displayName="Tag2" ma:internalName="CategoryTag2">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CategoryTag3" ma:index="10" nillable="true" ma:displayName="Tag3" ma:internalName="CategoryTag3">
      <xsd:complexType>
        <xsd:complexContent>
          <xsd:extension base="dms:MultiChoiceFillIn">
            <xsd:sequence>
              <xsd:element name="Value" maxOccurs="unbounded" minOccurs="0" nillable="true">
                <xsd:simpleType>
                  <xsd:union memberTypes="dms:Text">
                    <xsd:simpleType>
                      <xsd:restriction base="dms:Choice"/>
                    </xsd:simpleType>
                  </xsd:union>
                </xsd:simpleType>
              </xsd:element>
            </xsd:sequence>
          </xsd:extension>
        </xsd:complexContent>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8f16ab-5b94-4383-b991-fd30b24dfbf2" elementFormDefault="qualified">
    <xsd:import namespace="http://schemas.microsoft.com/office/2006/documentManagement/types"/>
    <xsd:import namespace="http://schemas.microsoft.com/office/infopath/2007/PartnerControls"/>
    <xsd:element name="SharedWithUsers" ma:index="11"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ategoryTag2 xmlns="2fa2ca59-c8f7-4286-a15c-1d596df93a93" xsi:nil="true"/>
    <CategoryTag1 xmlns="2fa2ca59-c8f7-4286-a15c-1d596df93a93" xsi:nil="true"/>
    <CategoryTag3 xmlns="2fa2ca59-c8f7-4286-a15c-1d596df93a93" xsi:nil="true"/>
  </documentManagement>
</p:properties>
</file>

<file path=customXml/itemProps1.xml><?xml version="1.0" encoding="utf-8"?>
<ds:datastoreItem xmlns:ds="http://schemas.openxmlformats.org/officeDocument/2006/customXml" ds:itemID="{6CB5D4EA-FF75-4C05-B44D-E6EE97C175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2ca59-c8f7-4286-a15c-1d596df93a93"/>
    <ds:schemaRef ds:uri="798f16ab-5b94-4383-b991-fd30b24dfb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77FF9-3632-41AA-9265-C03F9672D285}">
  <ds:schemaRefs>
    <ds:schemaRef ds:uri="http://schemas.microsoft.com/sharepoint/v3/contenttype/forms"/>
  </ds:schemaRefs>
</ds:datastoreItem>
</file>

<file path=customXml/itemProps3.xml><?xml version="1.0" encoding="utf-8"?>
<ds:datastoreItem xmlns:ds="http://schemas.openxmlformats.org/officeDocument/2006/customXml" ds:itemID="{E04F85A7-2993-4579-A52B-A635EF1907FD}">
  <ds:schemaRefs>
    <ds:schemaRef ds:uri="http://purl.org/dc/dcmitype/"/>
    <ds:schemaRef ds:uri="2fa2ca59-c8f7-4286-a15c-1d596df93a93"/>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798f16ab-5b94-4383-b991-fd30b24dfbf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グループC</vt:lpstr>
      <vt:lpstr>グループC!Print_Area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suzuki toshiaki/0577546/鈴木　利昭</dc:creator>
  <cp:keywords/>
  <dc:description/>
  <cp:lastModifiedBy>眞司 河本</cp:lastModifiedBy>
  <cp:revision/>
  <cp:lastPrinted>2025-09-12T05:03:06Z</cp:lastPrinted>
  <dcterms:created xsi:type="dcterms:W3CDTF">2023-09-07T05:35:54Z</dcterms:created>
  <dcterms:modified xsi:type="dcterms:W3CDTF">2025-11-24T01:22:48Z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0x010100E8C4A440474F60409A2EE6659CFB7F1C</vt:lpwstr>
  </property>
  <property fmtid="{D5CDD505-2E9C-101B-9397-08002B2CF9AE}" pid="3" name="MediaServiceImageTags">
    <vt:lpwstr/>
  </property>
</Properties>
</file>