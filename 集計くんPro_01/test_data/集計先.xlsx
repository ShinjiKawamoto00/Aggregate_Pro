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ggregate_Pro\集計くんPro_01\test_data\"/>
    </mc:Choice>
  </mc:AlternateContent>
  <xr:revisionPtr revIDLastSave="0" documentId="13_ncr:1_{406E3588-F7D2-4A30-B37D-A59D9BD47B4B}" xr6:coauthVersionLast="47" xr6:coauthVersionMax="47" xr10:uidLastSave="{00000000-0000-0000-0000-000000000000}"/>
  <bookViews>
    <workbookView xWindow="780" yWindow="780" windowWidth="21600" windowHeight="11295" tabRatio="567" firstSheet="1" activeTab="1" xr2:uid="{00000000-000D-0000-FFFF-FFFF00000000}"/>
  </bookViews>
  <sheets>
    <sheet name="MENU" sheetId="10" r:id="rId1"/>
    <sheet name="集計表" sheetId="16" r:id="rId2"/>
  </sheets>
  <definedNames>
    <definedName name="_xlnm.Print_Area" localSheetId="1">集計表!$A$1:$T$11</definedName>
    <definedName name="_xlnm.Print_Titles" localSheetId="1">集計表!$3:$3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1" i="16" l="1"/>
  <c r="AG11" i="16"/>
  <c r="AF11" i="16"/>
  <c r="AE11" i="16"/>
  <c r="AD11" i="16"/>
  <c r="AC11" i="16"/>
  <c r="AA11" i="16"/>
  <c r="Z11" i="16"/>
  <c r="Y11" i="16"/>
  <c r="X11" i="16"/>
  <c r="W11" i="16"/>
  <c r="V11" i="16"/>
  <c r="AJ10" i="16"/>
  <c r="AI10" i="16"/>
  <c r="AB10" i="16"/>
  <c r="AJ9" i="16"/>
  <c r="AI9" i="16"/>
  <c r="AB9" i="16"/>
  <c r="AJ8" i="16"/>
  <c r="AI8" i="16"/>
  <c r="AB8" i="16"/>
  <c r="AJ7" i="16"/>
  <c r="AI7" i="16"/>
  <c r="AB7" i="16"/>
  <c r="AI6" i="16"/>
  <c r="AB6" i="16"/>
  <c r="AJ6" i="16" s="1"/>
  <c r="AJ5" i="16"/>
  <c r="AI5" i="16"/>
  <c r="AB5" i="16"/>
  <c r="AJ4" i="16"/>
  <c r="AJ11" i="16" s="1"/>
  <c r="AI4" i="16"/>
  <c r="AI11" i="16" s="1"/>
  <c r="AB4" i="16"/>
  <c r="AB11" i="16" s="1"/>
  <c r="W3" i="16"/>
  <c r="X3" i="16" s="1"/>
  <c r="Y3" i="16" s="1"/>
  <c r="Z3" i="16" s="1"/>
  <c r="AA3" i="16" s="1"/>
  <c r="AC3" i="16" s="1"/>
  <c r="AD3" i="16" s="1"/>
  <c r="AE3" i="16" s="1"/>
  <c r="AF3" i="16" s="1"/>
  <c r="AG3" i="16" s="1"/>
  <c r="AH3" i="16" s="1"/>
  <c r="P10" i="16" l="1"/>
  <c r="P9" i="16"/>
  <c r="P8" i="16"/>
  <c r="P7" i="16"/>
  <c r="P6" i="16"/>
  <c r="P5" i="16"/>
  <c r="P4" i="16"/>
  <c r="I10" i="16"/>
  <c r="I9" i="16"/>
  <c r="I8" i="16"/>
  <c r="I7" i="16"/>
  <c r="I6" i="16"/>
  <c r="I5" i="16"/>
  <c r="I4" i="16"/>
  <c r="Q6" i="16" l="1"/>
  <c r="Q9" i="16"/>
  <c r="Q5" i="16"/>
  <c r="Q7" i="16"/>
  <c r="Q8" i="16"/>
  <c r="Q10" i="16"/>
  <c r="Q4" i="16"/>
  <c r="O11" i="16" l="1"/>
  <c r="N11" i="16"/>
  <c r="M11" i="16"/>
  <c r="L11" i="16"/>
  <c r="K11" i="16"/>
  <c r="J11" i="16"/>
  <c r="H11" i="16"/>
  <c r="G11" i="16"/>
  <c r="F11" i="16"/>
  <c r="E11" i="16"/>
  <c r="D11" i="16"/>
  <c r="C11" i="16"/>
  <c r="D3" i="16"/>
  <c r="E3" i="16" s="1"/>
  <c r="F3" i="16" s="1"/>
  <c r="G3" i="16" s="1"/>
  <c r="H3" i="16" s="1"/>
  <c r="J3" i="16" s="1"/>
  <c r="K3" i="16" s="1"/>
  <c r="L3" i="16" s="1"/>
  <c r="M3" i="16" s="1"/>
  <c r="N3" i="16" s="1"/>
  <c r="O3" i="16" s="1"/>
  <c r="I11" i="16" l="1"/>
  <c r="P11" i="16"/>
  <c r="Q11" i="16" l="1"/>
</calcChain>
</file>

<file path=xl/sharedStrings.xml><?xml version="1.0" encoding="utf-8"?>
<sst xmlns="http://schemas.openxmlformats.org/spreadsheetml/2006/main" count="24" uniqueCount="13">
  <si>
    <t>年度研究開発センター当初予算</t>
    <rPh sb="0" eb="2">
      <t>ネンド</t>
    </rPh>
    <rPh sb="2" eb="4">
      <t>ケンキュウ</t>
    </rPh>
    <rPh sb="4" eb="6">
      <t>カイハツ</t>
    </rPh>
    <rPh sb="10" eb="12">
      <t>トウショ</t>
    </rPh>
    <rPh sb="12" eb="14">
      <t>ヨサン</t>
    </rPh>
    <phoneticPr fontId="2"/>
  </si>
  <si>
    <t>上期計</t>
  </si>
  <si>
    <t>下期計</t>
  </si>
  <si>
    <t>年間計</t>
  </si>
  <si>
    <t>備考</t>
    <rPh sb="0" eb="2">
      <t>ビコウ</t>
    </rPh>
    <phoneticPr fontId="2"/>
  </si>
  <si>
    <t>研究開発費</t>
  </si>
  <si>
    <t>経費A</t>
  </si>
  <si>
    <t>経費B</t>
    <phoneticPr fontId="2"/>
  </si>
  <si>
    <t>2026年度予算および実績</t>
    <rPh sb="4" eb="6">
      <t>ネンド</t>
    </rPh>
    <rPh sb="6" eb="8">
      <t>ヨサン</t>
    </rPh>
    <rPh sb="11" eb="13">
      <t>ジッセキ</t>
    </rPh>
    <phoneticPr fontId="2"/>
  </si>
  <si>
    <t>妨害テーブル</t>
    <rPh sb="0" eb="2">
      <t>ボウガイ</t>
    </rPh>
    <phoneticPr fontId="2"/>
  </si>
  <si>
    <t>妨害行</t>
    <rPh sb="0" eb="3">
      <t>ボウガイギョウ</t>
    </rPh>
    <phoneticPr fontId="2"/>
  </si>
  <si>
    <t>経費C</t>
    <phoneticPr fontId="2"/>
  </si>
  <si>
    <t>経費合計</t>
    <rPh sb="0" eb="2">
      <t>ケイヒ</t>
    </rPh>
    <rPh sb="2" eb="4">
      <t>ゴウケイ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</si>
</sst>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#,##0&quot;月&quot;"/>
    <numFmt numFmtId="179" formatCode="#,##0;&quot;△ &quot;#,##0"/>
  </numFmts>
  <fonts count="2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明朝"/>
      <family val="1"/>
      <charset val="128"/>
    </font>
    <font>
      <sz val="7"/>
      <name val="明朝"/>
      <family val="1"/>
      <charset val="128"/>
    </font>
    <font>
      <sz val="10"/>
      <color indexed="10"/>
      <name val="ＭＳ Ｐゴシック"/>
      <family val="3"/>
      <charset val="128"/>
    </font>
    <font>
      <sz val="10"/>
      <name val="ＭＳ Ｐ明朝"/>
      <family val="1"/>
      <charset val="128"/>
    </font>
    <font>
      <sz val="20"/>
      <name val="ＭＳ Ｐゴシック"/>
      <family val="3"/>
      <charset val="128"/>
    </font>
    <font>
      <sz val="10"/>
      <name val="MS UI Gothic"/>
      <family val="3"/>
      <charset val="128"/>
    </font>
    <font>
      <sz val="10"/>
      <color indexed="10"/>
      <name val="MS UI Gothic"/>
      <family val="3"/>
      <charset val="128"/>
    </font>
    <font>
      <sz val="14"/>
      <name val="MS UI Gothic"/>
      <family val="3"/>
      <charset val="128"/>
    </font>
    <font>
      <sz val="11"/>
      <name val="MS UI Gothic"/>
      <family val="3"/>
      <charset val="128"/>
    </font>
    <font>
      <b/>
      <sz val="14"/>
      <name val="MS UI Gothic"/>
      <family val="3"/>
      <charset val="128"/>
    </font>
    <font>
      <sz val="11"/>
      <color theme="1"/>
      <name val="Meiryo UI"/>
      <family val="2"/>
      <charset val="128"/>
    </font>
    <font>
      <sz val="11"/>
      <color rgb="FF0070C0"/>
      <name val="MS UI Gothic"/>
      <family val="3"/>
      <charset val="128"/>
    </font>
    <font>
      <sz val="11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11"/>
      <name val="MS UI Gothic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3" fillId="0" borderId="0" applyFill="0" applyBorder="0" applyAlignment="0" applyProtection="0"/>
    <xf numFmtId="0" fontId="5" fillId="0" borderId="0"/>
    <xf numFmtId="0" fontId="1" fillId="0" borderId="0">
      <alignment vertical="center"/>
    </xf>
    <xf numFmtId="0" fontId="15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38" fontId="4" fillId="0" borderId="0" xfId="2" applyFont="1" applyFill="1" applyAlignment="1" applyProtection="1"/>
    <xf numFmtId="38" fontId="7" fillId="0" borderId="0" xfId="2" applyFont="1" applyFill="1" applyBorder="1" applyAlignment="1" applyProtection="1"/>
    <xf numFmtId="0" fontId="4" fillId="0" borderId="0" xfId="2" applyNumberFormat="1" applyFont="1" applyFill="1" applyAlignment="1" applyProtection="1"/>
    <xf numFmtId="176" fontId="4" fillId="0" borderId="0" xfId="2" applyNumberFormat="1" applyFont="1" applyFill="1" applyBorder="1" applyAlignment="1" applyProtection="1">
      <protection locked="0"/>
    </xf>
    <xf numFmtId="38" fontId="8" fillId="0" borderId="0" xfId="2" applyFont="1" applyFill="1" applyBorder="1" applyAlignment="1" applyProtection="1">
      <protection locked="0"/>
    </xf>
    <xf numFmtId="176" fontId="4" fillId="0" borderId="0" xfId="2" applyNumberFormat="1" applyFont="1" applyFill="1" applyAlignme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>
      <alignment vertical="center"/>
    </xf>
    <xf numFmtId="0" fontId="14" fillId="2" borderId="0" xfId="2" applyNumberFormat="1" applyFont="1" applyFill="1" applyAlignment="1" applyProtection="1"/>
    <xf numFmtId="0" fontId="12" fillId="2" borderId="0" xfId="2" applyNumberFormat="1" applyFont="1" applyFill="1" applyAlignment="1" applyProtection="1"/>
    <xf numFmtId="176" fontId="10" fillId="2" borderId="0" xfId="2" applyNumberFormat="1" applyFont="1" applyFill="1" applyAlignment="1" applyProtection="1"/>
    <xf numFmtId="176" fontId="10" fillId="2" borderId="0" xfId="2" applyNumberFormat="1" applyFont="1" applyFill="1" applyBorder="1" applyAlignment="1" applyProtection="1"/>
    <xf numFmtId="38" fontId="10" fillId="2" borderId="0" xfId="2" applyFont="1" applyFill="1" applyBorder="1" applyAlignment="1" applyProtection="1"/>
    <xf numFmtId="3" fontId="11" fillId="2" borderId="0" xfId="2" applyNumberFormat="1" applyFont="1" applyFill="1" applyBorder="1" applyAlignment="1" applyProtection="1"/>
    <xf numFmtId="38" fontId="4" fillId="2" borderId="0" xfId="2" applyFont="1" applyFill="1" applyAlignment="1" applyProtection="1"/>
    <xf numFmtId="3" fontId="10" fillId="2" borderId="0" xfId="2" applyNumberFormat="1" applyFont="1" applyFill="1" applyBorder="1" applyAlignment="1" applyProtection="1"/>
    <xf numFmtId="38" fontId="4" fillId="2" borderId="0" xfId="2" applyFont="1" applyFill="1" applyBorder="1" applyAlignment="1" applyProtection="1"/>
    <xf numFmtId="38" fontId="1" fillId="2" borderId="0" xfId="2" applyFont="1" applyFill="1" applyAlignment="1" applyProtection="1"/>
    <xf numFmtId="3" fontId="13" fillId="0" borderId="0" xfId="2" applyNumberFormat="1" applyFont="1" applyFill="1" applyBorder="1" applyAlignment="1" applyProtection="1"/>
    <xf numFmtId="38" fontId="1" fillId="0" borderId="0" xfId="2" applyFont="1" applyFill="1" applyAlignment="1" applyProtection="1"/>
    <xf numFmtId="38" fontId="18" fillId="0" borderId="0" xfId="2" applyFont="1" applyFill="1" applyAlignment="1" applyProtection="1"/>
    <xf numFmtId="38" fontId="20" fillId="0" borderId="0" xfId="2" applyFont="1" applyFill="1" applyAlignment="1" applyProtection="1"/>
    <xf numFmtId="38" fontId="13" fillId="2" borderId="2" xfId="0" applyNumberFormat="1" applyFont="1" applyFill="1" applyBorder="1" applyAlignment="1">
      <alignment horizontal="center"/>
    </xf>
    <xf numFmtId="38" fontId="13" fillId="2" borderId="3" xfId="0" applyNumberFormat="1" applyFont="1" applyFill="1" applyBorder="1" applyAlignment="1">
      <alignment horizontal="center"/>
    </xf>
    <xf numFmtId="49" fontId="13" fillId="2" borderId="4" xfId="0" applyNumberFormat="1" applyFont="1" applyFill="1" applyBorder="1" applyAlignment="1">
      <alignment horizontal="left"/>
    </xf>
    <xf numFmtId="49" fontId="13" fillId="2" borderId="2" xfId="0" applyNumberFormat="1" applyFont="1" applyFill="1" applyBorder="1" applyAlignment="1">
      <alignment horizontal="left"/>
    </xf>
    <xf numFmtId="178" fontId="13" fillId="2" borderId="2" xfId="0" applyNumberFormat="1" applyFont="1" applyFill="1" applyBorder="1" applyAlignment="1">
      <alignment horizontal="center"/>
    </xf>
    <xf numFmtId="49" fontId="13" fillId="0" borderId="5" xfId="2" applyNumberFormat="1" applyFont="1" applyFill="1" applyBorder="1" applyAlignment="1" applyProtection="1"/>
    <xf numFmtId="49" fontId="13" fillId="0" borderId="1" xfId="2" applyNumberFormat="1" applyFont="1" applyFill="1" applyBorder="1" applyAlignment="1" applyProtection="1"/>
    <xf numFmtId="179" fontId="13" fillId="0" borderId="1" xfId="4" applyNumberFormat="1" applyFont="1" applyBorder="1" applyProtection="1">
      <alignment vertical="center"/>
      <protection locked="0"/>
    </xf>
    <xf numFmtId="179" fontId="13" fillId="0" borderId="1" xfId="3" applyNumberFormat="1" applyFont="1" applyBorder="1" applyProtection="1">
      <protection locked="0"/>
    </xf>
    <xf numFmtId="179" fontId="16" fillId="0" borderId="1" xfId="1" applyNumberFormat="1" applyFont="1" applyFill="1" applyBorder="1" applyAlignment="1" applyProtection="1"/>
    <xf numFmtId="179" fontId="16" fillId="0" borderId="1" xfId="1" applyNumberFormat="1" applyFont="1" applyFill="1" applyBorder="1" applyAlignment="1" applyProtection="1">
      <alignment vertical="center"/>
    </xf>
    <xf numFmtId="177" fontId="17" fillId="0" borderId="6" xfId="2" applyNumberFormat="1" applyFont="1" applyFill="1" applyBorder="1" applyAlignment="1" applyProtection="1">
      <alignment horizontal="left"/>
      <protection locked="0"/>
    </xf>
    <xf numFmtId="49" fontId="19" fillId="0" borderId="5" xfId="2" applyNumberFormat="1" applyFont="1" applyFill="1" applyBorder="1" applyAlignment="1" applyProtection="1"/>
    <xf numFmtId="49" fontId="19" fillId="0" borderId="1" xfId="2" applyNumberFormat="1" applyFont="1" applyFill="1" applyBorder="1" applyAlignment="1" applyProtection="1"/>
    <xf numFmtId="49" fontId="13" fillId="0" borderId="7" xfId="2" applyNumberFormat="1" applyFont="1" applyFill="1" applyBorder="1" applyAlignment="1" applyProtection="1">
      <alignment horizontal="left"/>
    </xf>
    <xf numFmtId="49" fontId="13" fillId="0" borderId="8" xfId="2" applyNumberFormat="1" applyFont="1" applyFill="1" applyBorder="1" applyAlignment="1" applyProtection="1">
      <alignment horizontal="left"/>
    </xf>
    <xf numFmtId="179" fontId="13" fillId="0" borderId="8" xfId="4" applyNumberFormat="1" applyFont="1" applyBorder="1" applyProtection="1">
      <alignment vertical="center"/>
      <protection locked="0"/>
    </xf>
    <xf numFmtId="179" fontId="13" fillId="0" borderId="8" xfId="3" applyNumberFormat="1" applyFont="1" applyBorder="1" applyProtection="1">
      <protection locked="0"/>
    </xf>
    <xf numFmtId="179" fontId="16" fillId="0" borderId="8" xfId="1" applyNumberFormat="1" applyFont="1" applyFill="1" applyBorder="1" applyAlignment="1" applyProtection="1"/>
    <xf numFmtId="177" fontId="17" fillId="0" borderId="9" xfId="2" applyNumberFormat="1" applyFont="1" applyFill="1" applyBorder="1" applyAlignment="1" applyProtection="1">
      <alignment horizontal="left"/>
      <protection locked="0"/>
    </xf>
    <xf numFmtId="49" fontId="19" fillId="0" borderId="10" xfId="2" applyNumberFormat="1" applyFont="1" applyFill="1" applyBorder="1" applyAlignment="1" applyProtection="1"/>
    <xf numFmtId="49" fontId="19" fillId="0" borderId="11" xfId="2" applyNumberFormat="1" applyFont="1" applyFill="1" applyBorder="1" applyAlignment="1" applyProtection="1"/>
    <xf numFmtId="179" fontId="16" fillId="0" borderId="11" xfId="1" applyNumberFormat="1" applyFont="1" applyFill="1" applyBorder="1" applyAlignment="1" applyProtection="1"/>
    <xf numFmtId="177" fontId="17" fillId="0" borderId="12" xfId="2" applyNumberFormat="1" applyFont="1" applyFill="1" applyBorder="1" applyAlignment="1" applyProtection="1">
      <alignment horizontal="left"/>
      <protection locked="0"/>
    </xf>
    <xf numFmtId="0" fontId="21" fillId="0" borderId="0" xfId="2" applyNumberFormat="1" applyFont="1" applyFill="1" applyAlignment="1" applyProtection="1"/>
  </cellXfs>
  <cellStyles count="7">
    <cellStyle name="桁区切り" xfId="1" builtinId="6"/>
    <cellStyle name="桁区切り 2" xfId="6" xr:uid="{D8034F7D-0A7D-42E8-9EE1-2A00CE9F89DE}"/>
    <cellStyle name="桁区切り_00 研開セ 営業予算案" xfId="2" xr:uid="{00000000-0005-0000-0000-000001000000}"/>
    <cellStyle name="標準" xfId="0" builtinId="0"/>
    <cellStyle name="標準 2" xfId="5" xr:uid="{225BD40A-59B1-45F6-8FDE-73DC84C88CFF}"/>
    <cellStyle name="標準_１１年度研開予算2版(110203)" xfId="3" xr:uid="{00000000-0005-0000-0000-000003000000}"/>
    <cellStyle name="標準_ｺｰﾙｾﾝﾀｰ・ＡＣ" xfId="4" xr:uid="{00000000-0005-0000-0000-000006000000}"/>
  </cellStyles>
  <dxfs count="0"/>
  <tableStyles count="0" defaultTableStyle="TableStyleMedium9" defaultPivotStyle="PivotStyleLight16"/>
  <colors>
    <mruColors>
      <color rgb="FF0000FF"/>
      <color rgb="FFFFEBFF"/>
      <color rgb="FFFFCCFF"/>
      <color rgb="FFFFFFFF"/>
      <color rgb="FFCCFFFF"/>
      <color rgb="FFFFDF79"/>
      <color rgb="FFFFFF99"/>
      <color rgb="FF0070C0"/>
      <color rgb="FFFFDA65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290154</xdr:colOff>
      <xdr:row>0</xdr:row>
      <xdr:rowOff>28575</xdr:rowOff>
    </xdr:from>
    <xdr:to>
      <xdr:col>9</xdr:col>
      <xdr:colOff>333376</xdr:colOff>
      <xdr:row>1</xdr:row>
      <xdr:rowOff>161925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68C20C15-3FD9-4399-A438-366C881B0878}"/>
            </a:ext>
          </a:extLst>
        </xdr:cNvPr>
        <xdr:cNvSpPr/>
      </xdr:nvSpPr>
      <xdr:spPr>
        <a:xfrm>
          <a:off x="2528529" y="28575"/>
          <a:ext cx="2424472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tIns="0" bIns="0" rtlCol="0" anchor="ctr" anchorCtr="0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ja-JP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キーワード項目</a:t>
          </a:r>
          <a:r>
            <a:rPr lang="ja-JP" alt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行</a:t>
          </a:r>
          <a:r>
            <a:rPr lang="en-US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":</a:t>
          </a:r>
          <a:r>
            <a:rPr lang="ja-JP" altLang="en-US" sz="1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[1, 2, 3]</a:t>
          </a:r>
          <a:endParaRPr lang="ja-JP" altLang="ja-JP" sz="1400" b="1">
            <a:solidFill>
              <a:srgbClr val="FF0000"/>
            </a:solidFill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277763</xdr:colOff>
      <xdr:row>2</xdr:row>
      <xdr:rowOff>219075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897196EF-ABE3-4436-B2C1-AC4E61628580}"/>
            </a:ext>
          </a:extLst>
        </xdr:cNvPr>
        <xdr:cNvSpPr/>
      </xdr:nvSpPr>
      <xdr:spPr>
        <a:xfrm>
          <a:off x="0" y="0"/>
          <a:ext cx="277763" cy="619125"/>
        </a:xfrm>
        <a:prstGeom prst="rightBrace">
          <a:avLst/>
        </a:prstGeom>
        <a:ln w="254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277763</xdr:colOff>
      <xdr:row>0</xdr:row>
      <xdr:rowOff>204788</xdr:rowOff>
    </xdr:from>
    <xdr:to>
      <xdr:col>4</xdr:col>
      <xdr:colOff>290154</xdr:colOff>
      <xdr:row>1</xdr:row>
      <xdr:rowOff>90488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79B66E5-063A-4CDD-888F-568EAF66D098}"/>
            </a:ext>
          </a:extLst>
        </xdr:cNvPr>
        <xdr:cNvCxnSpPr>
          <a:stCxn id="2" idx="1"/>
          <a:endCxn id="3" idx="1"/>
        </xdr:cNvCxnSpPr>
      </xdr:nvCxnSpPr>
      <xdr:spPr>
        <a:xfrm flipH="1">
          <a:off x="277763" y="204788"/>
          <a:ext cx="2250766" cy="104775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D4:E4"/>
  <sheetViews>
    <sheetView showGridLines="0" workbookViewId="0">
      <selection activeCell="D5" sqref="D5"/>
    </sheetView>
  </sheetViews>
  <sheetFormatPr defaultColWidth="9" defaultRowHeight="13.5"/>
  <cols>
    <col min="4" max="4" width="10" bestFit="1" customWidth="1"/>
  </cols>
  <sheetData>
    <row r="4" spans="4:5" ht="43.5" customHeight="1">
      <c r="D4" s="7">
        <v>2025</v>
      </c>
      <c r="E4" s="8" t="s">
        <v>0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0039-5AB5-4016-8BA5-B5F282206A2C}">
  <sheetPr>
    <tabColor rgb="FFFFFF00"/>
  </sheetPr>
  <dimension ref="A1:AK13"/>
  <sheetViews>
    <sheetView showGridLines="0" tabSelected="1" zoomScaleNormal="100" zoomScaleSheetLayoutView="85" workbookViewId="0">
      <pane xSplit="1" ySplit="3" topLeftCell="B4" activePane="bottomRight" state="frozen"/>
      <selection pane="topRight" activeCell="K1" sqref="K1"/>
      <selection pane="bottomLeft" activeCell="H4" sqref="H4"/>
      <selection pane="bottomRight" activeCell="P16" sqref="P16"/>
    </sheetView>
  </sheetViews>
  <sheetFormatPr defaultColWidth="6.75" defaultRowHeight="17.25" customHeight="1"/>
  <cols>
    <col min="1" max="1" width="10.375" style="3" customWidth="1"/>
    <col min="2" max="2" width="6.75" style="3" customWidth="1"/>
    <col min="3" max="5" width="6.125" style="6" customWidth="1"/>
    <col min="6" max="6" width="6.125" style="4" customWidth="1"/>
    <col min="7" max="8" width="6.125" style="6" customWidth="1"/>
    <col min="9" max="9" width="6.75" style="6"/>
    <col min="10" max="12" width="6.125" style="6" customWidth="1"/>
    <col min="13" max="13" width="6.125" style="4" customWidth="1"/>
    <col min="14" max="15" width="6.125" style="6" customWidth="1"/>
    <col min="16" max="16" width="6.75" style="6"/>
    <col min="17" max="17" width="6.75" style="4"/>
    <col min="18" max="18" width="6" style="5" customWidth="1"/>
    <col min="19" max="19" width="6.75" style="2"/>
    <col min="20" max="20" width="10.75" style="2" customWidth="1"/>
    <col min="21" max="16384" width="6.75" style="1"/>
  </cols>
  <sheetData>
    <row r="1" spans="1:37" s="15" customFormat="1" ht="17.25" customHeight="1">
      <c r="A1" s="9" t="s">
        <v>8</v>
      </c>
      <c r="B1" s="10"/>
      <c r="C1" s="11"/>
      <c r="D1" s="11"/>
      <c r="E1" s="11"/>
      <c r="F1" s="12"/>
      <c r="G1" s="11"/>
      <c r="H1" s="11"/>
      <c r="I1" s="11"/>
      <c r="J1" s="11"/>
      <c r="K1" s="11"/>
      <c r="L1" s="11"/>
      <c r="M1" s="12"/>
      <c r="N1" s="11"/>
      <c r="O1" s="11"/>
      <c r="P1" s="11"/>
      <c r="Q1" s="12"/>
      <c r="R1" s="13"/>
      <c r="S1" s="14"/>
      <c r="T1" s="9" t="s">
        <v>9</v>
      </c>
    </row>
    <row r="2" spans="1:37" s="17" customFormat="1" ht="14.25" customHeight="1" thickBot="1">
      <c r="A2" s="13"/>
      <c r="B2" s="13"/>
      <c r="C2" s="11"/>
      <c r="D2" s="11"/>
      <c r="E2" s="11"/>
      <c r="F2" s="12"/>
      <c r="G2" s="11"/>
      <c r="H2" s="11"/>
      <c r="I2" s="11"/>
      <c r="J2" s="11"/>
      <c r="K2" s="11"/>
      <c r="L2" s="11"/>
      <c r="M2" s="12"/>
      <c r="N2" s="11"/>
      <c r="O2" s="11"/>
      <c r="P2" s="11"/>
      <c r="Q2" s="12"/>
      <c r="R2" s="13"/>
      <c r="S2" s="16"/>
      <c r="T2" s="13"/>
    </row>
    <row r="3" spans="1:37" s="18" customFormat="1" ht="20.100000000000001" customHeight="1" thickTop="1">
      <c r="A3" s="25"/>
      <c r="B3" s="26"/>
      <c r="C3" s="27">
        <v>4</v>
      </c>
      <c r="D3" s="27">
        <f>C3+1</f>
        <v>5</v>
      </c>
      <c r="E3" s="27">
        <f>D3+1</f>
        <v>6</v>
      </c>
      <c r="F3" s="27">
        <f>E3+1</f>
        <v>7</v>
      </c>
      <c r="G3" s="27">
        <f>F3+1</f>
        <v>8</v>
      </c>
      <c r="H3" s="27">
        <f>G3+1</f>
        <v>9</v>
      </c>
      <c r="I3" s="23" t="s">
        <v>1</v>
      </c>
      <c r="J3" s="27">
        <f>H3+1</f>
        <v>10</v>
      </c>
      <c r="K3" s="27">
        <f>J3+1</f>
        <v>11</v>
      </c>
      <c r="L3" s="27">
        <f>K3+1</f>
        <v>12</v>
      </c>
      <c r="M3" s="27">
        <f>L3-11</f>
        <v>1</v>
      </c>
      <c r="N3" s="27">
        <f>M3+1</f>
        <v>2</v>
      </c>
      <c r="O3" s="27">
        <f>N3+1</f>
        <v>3</v>
      </c>
      <c r="P3" s="23" t="s">
        <v>2</v>
      </c>
      <c r="Q3" s="23" t="s">
        <v>3</v>
      </c>
      <c r="R3" s="24" t="s">
        <v>4</v>
      </c>
      <c r="S3" s="16"/>
      <c r="T3" s="25"/>
      <c r="U3" s="26"/>
      <c r="V3" s="27">
        <v>4</v>
      </c>
      <c r="W3" s="27">
        <f>V3+1</f>
        <v>5</v>
      </c>
      <c r="X3" s="27">
        <f>W3+1</f>
        <v>6</v>
      </c>
      <c r="Y3" s="27">
        <f>X3+1</f>
        <v>7</v>
      </c>
      <c r="Z3" s="27">
        <f>Y3+1</f>
        <v>8</v>
      </c>
      <c r="AA3" s="27">
        <f>Z3+1</f>
        <v>9</v>
      </c>
      <c r="AB3" s="23" t="s">
        <v>1</v>
      </c>
      <c r="AC3" s="27">
        <f>AA3+1</f>
        <v>10</v>
      </c>
      <c r="AD3" s="27">
        <f>AC3+1</f>
        <v>11</v>
      </c>
      <c r="AE3" s="27">
        <f>AD3+1</f>
        <v>12</v>
      </c>
      <c r="AF3" s="27">
        <f>AE3-11</f>
        <v>1</v>
      </c>
      <c r="AG3" s="27">
        <f>AF3+1</f>
        <v>2</v>
      </c>
      <c r="AH3" s="27">
        <f>AG3+1</f>
        <v>3</v>
      </c>
      <c r="AI3" s="23" t="s">
        <v>2</v>
      </c>
      <c r="AJ3" s="23" t="s">
        <v>3</v>
      </c>
      <c r="AK3" s="24" t="s">
        <v>4</v>
      </c>
    </row>
    <row r="4" spans="1:37" s="20" customFormat="1" ht="20.100000000000001" customHeight="1">
      <c r="A4" s="35" t="s">
        <v>5</v>
      </c>
      <c r="B4" s="36" t="s">
        <v>6</v>
      </c>
      <c r="C4" s="30">
        <v>641</v>
      </c>
      <c r="D4" s="31">
        <v>2103</v>
      </c>
      <c r="E4" s="31">
        <v>1946</v>
      </c>
      <c r="F4" s="31">
        <v>3648</v>
      </c>
      <c r="G4" s="31">
        <v>1550</v>
      </c>
      <c r="H4" s="31">
        <v>2352</v>
      </c>
      <c r="I4" s="32">
        <f t="shared" ref="I4:I10" si="0">SUM(C4:H4)</f>
        <v>12240</v>
      </c>
      <c r="J4" s="31">
        <v>550</v>
      </c>
      <c r="K4" s="31">
        <v>560</v>
      </c>
      <c r="L4" s="31">
        <v>570</v>
      </c>
      <c r="M4" s="31">
        <v>580</v>
      </c>
      <c r="N4" s="31">
        <v>590</v>
      </c>
      <c r="O4" s="31">
        <v>12540</v>
      </c>
      <c r="P4" s="32">
        <f t="shared" ref="P4:P10" si="1">SUM(J4:O4)</f>
        <v>15390</v>
      </c>
      <c r="Q4" s="33">
        <f t="shared" ref="Q4:Q10" si="2">I4+P4</f>
        <v>27630</v>
      </c>
      <c r="R4" s="34"/>
      <c r="S4" s="19"/>
      <c r="T4" s="35" t="s">
        <v>5</v>
      </c>
      <c r="U4" s="36" t="s">
        <v>6</v>
      </c>
      <c r="V4" s="30"/>
      <c r="W4" s="31"/>
      <c r="X4" s="31"/>
      <c r="Y4" s="31"/>
      <c r="Z4" s="31"/>
      <c r="AA4" s="31"/>
      <c r="AB4" s="32">
        <f t="shared" ref="AB4:AB10" si="3">SUM(V4:AA4)</f>
        <v>0</v>
      </c>
      <c r="AC4" s="31"/>
      <c r="AD4" s="31"/>
      <c r="AE4" s="31"/>
      <c r="AF4" s="31"/>
      <c r="AG4" s="31"/>
      <c r="AH4" s="31"/>
      <c r="AI4" s="32">
        <f t="shared" ref="AI4:AI10" si="4">SUM(AC4:AH4)</f>
        <v>0</v>
      </c>
      <c r="AJ4" s="33">
        <f t="shared" ref="AJ4:AJ10" si="5">AB4+AI4</f>
        <v>0</v>
      </c>
      <c r="AK4" s="34"/>
    </row>
    <row r="5" spans="1:37" s="20" customFormat="1" ht="20.100000000000001" customHeight="1">
      <c r="A5" s="35" t="s">
        <v>5</v>
      </c>
      <c r="B5" s="36" t="s">
        <v>7</v>
      </c>
      <c r="C5" s="30">
        <v>400</v>
      </c>
      <c r="D5" s="31">
        <v>400</v>
      </c>
      <c r="E5" s="31">
        <v>400</v>
      </c>
      <c r="F5" s="31">
        <v>400</v>
      </c>
      <c r="G5" s="31">
        <v>400</v>
      </c>
      <c r="H5" s="31">
        <v>400</v>
      </c>
      <c r="I5" s="32">
        <f t="shared" si="0"/>
        <v>2400</v>
      </c>
      <c r="J5" s="31">
        <v>400</v>
      </c>
      <c r="K5" s="31">
        <v>400</v>
      </c>
      <c r="L5" s="31">
        <v>400</v>
      </c>
      <c r="M5" s="31">
        <v>400</v>
      </c>
      <c r="N5" s="31">
        <v>400</v>
      </c>
      <c r="O5" s="31">
        <v>400</v>
      </c>
      <c r="P5" s="32">
        <f t="shared" si="1"/>
        <v>2400</v>
      </c>
      <c r="Q5" s="32">
        <f t="shared" si="2"/>
        <v>4800</v>
      </c>
      <c r="R5" s="34"/>
      <c r="S5" s="19"/>
      <c r="T5" s="35" t="s">
        <v>5</v>
      </c>
      <c r="U5" s="36" t="s">
        <v>7</v>
      </c>
      <c r="V5" s="30"/>
      <c r="W5" s="31"/>
      <c r="X5" s="31"/>
      <c r="Y5" s="31"/>
      <c r="Z5" s="31"/>
      <c r="AA5" s="31"/>
      <c r="AB5" s="32">
        <f t="shared" si="3"/>
        <v>0</v>
      </c>
      <c r="AC5" s="31"/>
      <c r="AD5" s="31"/>
      <c r="AE5" s="31"/>
      <c r="AF5" s="31"/>
      <c r="AG5" s="31"/>
      <c r="AH5" s="31"/>
      <c r="AI5" s="32">
        <f t="shared" si="4"/>
        <v>0</v>
      </c>
      <c r="AJ5" s="32">
        <f t="shared" si="5"/>
        <v>0</v>
      </c>
      <c r="AK5" s="34"/>
    </row>
    <row r="6" spans="1:37" s="20" customFormat="1" ht="20.100000000000001" customHeight="1">
      <c r="A6" s="35" t="s">
        <v>5</v>
      </c>
      <c r="B6" s="36" t="s">
        <v>11</v>
      </c>
      <c r="C6" s="30">
        <v>45</v>
      </c>
      <c r="D6" s="31">
        <v>45</v>
      </c>
      <c r="E6" s="31">
        <v>45</v>
      </c>
      <c r="F6" s="31">
        <v>45</v>
      </c>
      <c r="G6" s="31">
        <v>45</v>
      </c>
      <c r="H6" s="31">
        <v>45</v>
      </c>
      <c r="I6" s="32">
        <f t="shared" si="0"/>
        <v>270</v>
      </c>
      <c r="J6" s="31">
        <v>45</v>
      </c>
      <c r="K6" s="31">
        <v>45</v>
      </c>
      <c r="L6" s="31">
        <v>45</v>
      </c>
      <c r="M6" s="31">
        <v>45</v>
      </c>
      <c r="N6" s="31">
        <v>45</v>
      </c>
      <c r="O6" s="31">
        <v>45</v>
      </c>
      <c r="P6" s="32">
        <f t="shared" si="1"/>
        <v>270</v>
      </c>
      <c r="Q6" s="32">
        <f t="shared" si="2"/>
        <v>540</v>
      </c>
      <c r="R6" s="34"/>
      <c r="S6" s="19"/>
      <c r="T6" s="28"/>
      <c r="U6" s="29"/>
      <c r="V6" s="30"/>
      <c r="W6" s="31"/>
      <c r="X6" s="31"/>
      <c r="Y6" s="31"/>
      <c r="Z6" s="31"/>
      <c r="AA6" s="31"/>
      <c r="AB6" s="32">
        <f t="shared" si="3"/>
        <v>0</v>
      </c>
      <c r="AC6" s="31"/>
      <c r="AD6" s="31"/>
      <c r="AE6" s="31"/>
      <c r="AF6" s="31"/>
      <c r="AG6" s="31"/>
      <c r="AH6" s="31"/>
      <c r="AI6" s="32">
        <f t="shared" si="4"/>
        <v>0</v>
      </c>
      <c r="AJ6" s="32">
        <f t="shared" si="5"/>
        <v>0</v>
      </c>
      <c r="AK6" s="34"/>
    </row>
    <row r="7" spans="1:37" s="20" customFormat="1" ht="20.100000000000001" customHeight="1">
      <c r="A7" s="28"/>
      <c r="B7" s="29"/>
      <c r="C7" s="30"/>
      <c r="D7" s="31"/>
      <c r="E7" s="31"/>
      <c r="F7" s="31"/>
      <c r="G7" s="31"/>
      <c r="H7" s="31"/>
      <c r="I7" s="32">
        <f t="shared" si="0"/>
        <v>0</v>
      </c>
      <c r="J7" s="31"/>
      <c r="K7" s="31"/>
      <c r="L7" s="31"/>
      <c r="M7" s="31"/>
      <c r="N7" s="31"/>
      <c r="O7" s="31"/>
      <c r="P7" s="32">
        <f t="shared" si="1"/>
        <v>0</v>
      </c>
      <c r="Q7" s="32">
        <f t="shared" si="2"/>
        <v>0</v>
      </c>
      <c r="R7" s="34"/>
      <c r="S7" s="19"/>
      <c r="T7" s="28"/>
      <c r="U7" s="29"/>
      <c r="V7" s="30"/>
      <c r="W7" s="31"/>
      <c r="X7" s="31"/>
      <c r="Y7" s="31"/>
      <c r="Z7" s="31"/>
      <c r="AA7" s="31"/>
      <c r="AB7" s="32">
        <f t="shared" si="3"/>
        <v>0</v>
      </c>
      <c r="AC7" s="31"/>
      <c r="AD7" s="31"/>
      <c r="AE7" s="31"/>
      <c r="AF7" s="31"/>
      <c r="AG7" s="31"/>
      <c r="AH7" s="31"/>
      <c r="AI7" s="32">
        <f t="shared" si="4"/>
        <v>0</v>
      </c>
      <c r="AJ7" s="32">
        <f t="shared" si="5"/>
        <v>0</v>
      </c>
      <c r="AK7" s="34"/>
    </row>
    <row r="8" spans="1:37" s="20" customFormat="1" ht="20.100000000000001" customHeight="1">
      <c r="A8" s="28"/>
      <c r="B8" s="29"/>
      <c r="C8" s="30"/>
      <c r="D8" s="31"/>
      <c r="E8" s="31"/>
      <c r="F8" s="31"/>
      <c r="G8" s="31"/>
      <c r="H8" s="31"/>
      <c r="I8" s="32">
        <f t="shared" si="0"/>
        <v>0</v>
      </c>
      <c r="J8" s="31"/>
      <c r="K8" s="31"/>
      <c r="L8" s="31"/>
      <c r="M8" s="31"/>
      <c r="N8" s="31"/>
      <c r="O8" s="31"/>
      <c r="P8" s="32">
        <f t="shared" si="1"/>
        <v>0</v>
      </c>
      <c r="Q8" s="32">
        <f t="shared" si="2"/>
        <v>0</v>
      </c>
      <c r="R8" s="34"/>
      <c r="S8" s="19"/>
      <c r="T8" s="28"/>
      <c r="U8" s="29"/>
      <c r="V8" s="30"/>
      <c r="W8" s="31"/>
      <c r="X8" s="31"/>
      <c r="Y8" s="31"/>
      <c r="Z8" s="31"/>
      <c r="AA8" s="31"/>
      <c r="AB8" s="32">
        <f t="shared" si="3"/>
        <v>0</v>
      </c>
      <c r="AC8" s="31"/>
      <c r="AD8" s="31"/>
      <c r="AE8" s="31"/>
      <c r="AF8" s="31"/>
      <c r="AG8" s="31"/>
      <c r="AH8" s="31"/>
      <c r="AI8" s="32">
        <f t="shared" si="4"/>
        <v>0</v>
      </c>
      <c r="AJ8" s="32">
        <f t="shared" si="5"/>
        <v>0</v>
      </c>
      <c r="AK8" s="34"/>
    </row>
    <row r="9" spans="1:37" s="20" customFormat="1" ht="20.100000000000001" customHeight="1">
      <c r="A9" s="28"/>
      <c r="B9" s="29"/>
      <c r="C9" s="30"/>
      <c r="D9" s="31"/>
      <c r="E9" s="31"/>
      <c r="F9" s="31"/>
      <c r="G9" s="31"/>
      <c r="H9" s="31"/>
      <c r="I9" s="32">
        <f t="shared" si="0"/>
        <v>0</v>
      </c>
      <c r="J9" s="31"/>
      <c r="K9" s="31"/>
      <c r="L9" s="31"/>
      <c r="M9" s="31"/>
      <c r="N9" s="31"/>
      <c r="O9" s="31"/>
      <c r="P9" s="32">
        <f t="shared" si="1"/>
        <v>0</v>
      </c>
      <c r="Q9" s="32">
        <f t="shared" si="2"/>
        <v>0</v>
      </c>
      <c r="R9" s="34"/>
      <c r="S9" s="19"/>
      <c r="T9" s="28"/>
      <c r="U9" s="29"/>
      <c r="V9" s="30"/>
      <c r="W9" s="31"/>
      <c r="X9" s="31"/>
      <c r="Y9" s="31"/>
      <c r="Z9" s="31"/>
      <c r="AA9" s="31"/>
      <c r="AB9" s="32">
        <f t="shared" si="3"/>
        <v>0</v>
      </c>
      <c r="AC9" s="31"/>
      <c r="AD9" s="31"/>
      <c r="AE9" s="31"/>
      <c r="AF9" s="31"/>
      <c r="AG9" s="31"/>
      <c r="AH9" s="31"/>
      <c r="AI9" s="32">
        <f t="shared" si="4"/>
        <v>0</v>
      </c>
      <c r="AJ9" s="32">
        <f t="shared" si="5"/>
        <v>0</v>
      </c>
      <c r="AK9" s="34"/>
    </row>
    <row r="10" spans="1:37" s="21" customFormat="1" ht="20.100000000000001" customHeight="1" thickBot="1">
      <c r="A10" s="37"/>
      <c r="B10" s="38"/>
      <c r="C10" s="39"/>
      <c r="D10" s="40"/>
      <c r="E10" s="40"/>
      <c r="F10" s="40"/>
      <c r="G10" s="40"/>
      <c r="H10" s="40"/>
      <c r="I10" s="41">
        <f t="shared" si="0"/>
        <v>0</v>
      </c>
      <c r="J10" s="40"/>
      <c r="K10" s="40"/>
      <c r="L10" s="40"/>
      <c r="M10" s="40"/>
      <c r="N10" s="40"/>
      <c r="O10" s="40"/>
      <c r="P10" s="41">
        <f t="shared" si="1"/>
        <v>0</v>
      </c>
      <c r="Q10" s="41">
        <f t="shared" si="2"/>
        <v>0</v>
      </c>
      <c r="R10" s="42"/>
      <c r="S10" s="19"/>
      <c r="T10" s="37"/>
      <c r="U10" s="38"/>
      <c r="V10" s="39"/>
      <c r="W10" s="40"/>
      <c r="X10" s="40"/>
      <c r="Y10" s="40"/>
      <c r="Z10" s="40"/>
      <c r="AA10" s="40"/>
      <c r="AB10" s="41">
        <f t="shared" si="3"/>
        <v>0</v>
      </c>
      <c r="AC10" s="40"/>
      <c r="AD10" s="40"/>
      <c r="AE10" s="40"/>
      <c r="AF10" s="40"/>
      <c r="AG10" s="40"/>
      <c r="AH10" s="40"/>
      <c r="AI10" s="41">
        <f t="shared" si="4"/>
        <v>0</v>
      </c>
      <c r="AJ10" s="41">
        <f t="shared" si="5"/>
        <v>0</v>
      </c>
      <c r="AK10" s="42"/>
    </row>
    <row r="11" spans="1:37" s="22" customFormat="1" ht="20.100000000000001" customHeight="1" thickTop="1" thickBot="1">
      <c r="A11" s="43" t="s">
        <v>12</v>
      </c>
      <c r="B11" s="44"/>
      <c r="C11" s="45">
        <f>SUM(C4:C10)</f>
        <v>1086</v>
      </c>
      <c r="D11" s="45">
        <f t="shared" ref="D11:Q11" si="6">SUM(D4:D10)</f>
        <v>2548</v>
      </c>
      <c r="E11" s="45">
        <f t="shared" si="6"/>
        <v>2391</v>
      </c>
      <c r="F11" s="45">
        <f t="shared" si="6"/>
        <v>4093</v>
      </c>
      <c r="G11" s="45">
        <f t="shared" si="6"/>
        <v>1995</v>
      </c>
      <c r="H11" s="45">
        <f t="shared" si="6"/>
        <v>2797</v>
      </c>
      <c r="I11" s="45">
        <f t="shared" si="6"/>
        <v>14910</v>
      </c>
      <c r="J11" s="45">
        <f t="shared" si="6"/>
        <v>995</v>
      </c>
      <c r="K11" s="45">
        <f t="shared" si="6"/>
        <v>1005</v>
      </c>
      <c r="L11" s="45">
        <f t="shared" si="6"/>
        <v>1015</v>
      </c>
      <c r="M11" s="45">
        <f t="shared" si="6"/>
        <v>1025</v>
      </c>
      <c r="N11" s="45">
        <f t="shared" si="6"/>
        <v>1035</v>
      </c>
      <c r="O11" s="45">
        <f t="shared" si="6"/>
        <v>12985</v>
      </c>
      <c r="P11" s="45">
        <f t="shared" si="6"/>
        <v>18060</v>
      </c>
      <c r="Q11" s="45">
        <f t="shared" si="6"/>
        <v>32970</v>
      </c>
      <c r="R11" s="46"/>
      <c r="S11" s="19"/>
      <c r="T11" s="43" t="s">
        <v>12</v>
      </c>
      <c r="U11" s="44"/>
      <c r="V11" s="45">
        <f>SUM(V4:V10)</f>
        <v>0</v>
      </c>
      <c r="W11" s="45">
        <f t="shared" ref="W11:AJ11" si="7">SUM(W4:W10)</f>
        <v>0</v>
      </c>
      <c r="X11" s="45">
        <f t="shared" si="7"/>
        <v>0</v>
      </c>
      <c r="Y11" s="45">
        <f t="shared" si="7"/>
        <v>0</v>
      </c>
      <c r="Z11" s="45">
        <f t="shared" si="7"/>
        <v>0</v>
      </c>
      <c r="AA11" s="45">
        <f t="shared" si="7"/>
        <v>0</v>
      </c>
      <c r="AB11" s="45">
        <f t="shared" si="7"/>
        <v>0</v>
      </c>
      <c r="AC11" s="45">
        <f t="shared" si="7"/>
        <v>0</v>
      </c>
      <c r="AD11" s="45">
        <f t="shared" si="7"/>
        <v>0</v>
      </c>
      <c r="AE11" s="45">
        <f t="shared" si="7"/>
        <v>0</v>
      </c>
      <c r="AF11" s="45">
        <f t="shared" si="7"/>
        <v>0</v>
      </c>
      <c r="AG11" s="45">
        <f t="shared" si="7"/>
        <v>0</v>
      </c>
      <c r="AH11" s="45">
        <f t="shared" si="7"/>
        <v>0</v>
      </c>
      <c r="AI11" s="45">
        <f t="shared" si="7"/>
        <v>0</v>
      </c>
      <c r="AJ11" s="45">
        <f t="shared" si="7"/>
        <v>0</v>
      </c>
      <c r="AK11" s="46"/>
    </row>
    <row r="12" spans="1:37" ht="17.25" customHeight="1" thickTop="1"/>
    <row r="13" spans="1:37" ht="17.25" customHeight="1">
      <c r="A13" s="47" t="s">
        <v>10</v>
      </c>
      <c r="C13" s="6">
        <v>1</v>
      </c>
      <c r="D13" s="6">
        <v>2</v>
      </c>
      <c r="E13" s="6">
        <v>3</v>
      </c>
      <c r="F13" s="6">
        <v>4</v>
      </c>
      <c r="G13" s="6">
        <v>5</v>
      </c>
      <c r="H13" s="6">
        <v>6</v>
      </c>
      <c r="J13" s="6">
        <v>7</v>
      </c>
      <c r="K13" s="6">
        <v>8</v>
      </c>
      <c r="L13" s="6">
        <v>9</v>
      </c>
      <c r="M13" s="6">
        <v>10</v>
      </c>
      <c r="N13" s="6">
        <v>11</v>
      </c>
      <c r="O13" s="6">
        <v>12</v>
      </c>
    </row>
  </sheetData>
  <sheetProtection formatRows="0"/>
  <phoneticPr fontId="2"/>
  <pageMargins left="0.39370078740157483" right="0" top="0.39370078740157483" bottom="0.19685039370078741" header="0.19685039370078741" footer="0"/>
  <pageSetup paperSize="8" scale="75" orientation="landscape" r:id="rId1"/>
  <headerFooter alignWithMargins="0">
    <oddFooter>&amp;C&amp;12&amp;P／&amp;N</oddFooter>
  </headerFooter>
  <colBreaks count="1" manualBreakCount="1">
    <brk id="1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ee8c6f52-211c-4a8d-9d5a-5e974d509624" xsi:nil="true"/>
    <TaxCatchAll xmlns="798f16ab-5b94-4383-b991-fd30b24dfbf2" xsi:nil="true"/>
    <CategoryTag3 xmlns="ee8c6f52-211c-4a8d-9d5a-5e974d509624" xsi:nil="true"/>
    <lcf76f155ced4ddcb4097134ff3c332f xmlns="ee8c6f52-211c-4a8d-9d5a-5e974d509624">
      <Terms xmlns="http://schemas.microsoft.com/office/infopath/2007/PartnerControls"/>
    </lcf76f155ced4ddcb4097134ff3c332f>
    <CategoryTag2 xmlns="ee8c6f52-211c-4a8d-9d5a-5e974d50962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3131061AD3445A23C1C5E3C4ABD10" ma:contentTypeVersion="17" ma:contentTypeDescription="新しいドキュメントを作成します。" ma:contentTypeScope="" ma:versionID="f544a346d9d04f0c64155d0ce45b60a8">
  <xsd:schema xmlns:xsd="http://www.w3.org/2001/XMLSchema" xmlns:xs="http://www.w3.org/2001/XMLSchema" xmlns:p="http://schemas.microsoft.com/office/2006/metadata/properties" xmlns:ns2="ee8c6f52-211c-4a8d-9d5a-5e974d509624" xmlns:ns3="798f16ab-5b94-4383-b991-fd30b24dfbf2" targetNamespace="http://schemas.microsoft.com/office/2006/metadata/properties" ma:root="true" ma:fieldsID="3f72f337729779afa07cc4012e008c5d" ns2:_="" ns3:_="">
    <xsd:import namespace="ee8c6f52-211c-4a8d-9d5a-5e974d509624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c6f52-211c-4a8d-9d5a-5e974d509624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742ff-86bf-436c-92ec-765d6f6d6baf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46C992-9825-4B0F-8EDD-CE66246C6EB8}">
  <ds:schemaRefs>
    <ds:schemaRef ds:uri="http://schemas.microsoft.com/office/2006/metadata/properties"/>
    <ds:schemaRef ds:uri="http://schemas.microsoft.com/office/infopath/2007/PartnerControls"/>
    <ds:schemaRef ds:uri="ee8c6f52-211c-4a8d-9d5a-5e974d509624"/>
    <ds:schemaRef ds:uri="798f16ab-5b94-4383-b991-fd30b24dfbf2"/>
  </ds:schemaRefs>
</ds:datastoreItem>
</file>

<file path=customXml/itemProps2.xml><?xml version="1.0" encoding="utf-8"?>
<ds:datastoreItem xmlns:ds="http://schemas.openxmlformats.org/officeDocument/2006/customXml" ds:itemID="{7AAFDD9B-4224-430A-8114-F0E11FEB28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c6f52-211c-4a8d-9d5a-5e974d509624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038804-2345-49FB-ABEE-0841511293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MENU</vt:lpstr>
      <vt:lpstr>集計表</vt:lpstr>
      <vt:lpstr>集計表!Print_Area</vt:lpstr>
      <vt:lpstr>集計表!Print_Titles</vt:lpstr>
    </vt:vector>
  </TitlesOfParts>
  <Manager/>
  <Company>BusinessNet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KNG4402</dc:creator>
  <cp:keywords/>
  <dc:description/>
  <cp:lastModifiedBy>眞司 河本</cp:lastModifiedBy>
  <cp:revision/>
  <cp:lastPrinted>2025-10-07T06:42:31Z</cp:lastPrinted>
  <dcterms:created xsi:type="dcterms:W3CDTF">2011-04-27T06:00:25Z</dcterms:created>
  <dcterms:modified xsi:type="dcterms:W3CDTF">2025-12-15T13:57:17Z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0x010100C263131061AD3445A23C1C5E3C4ABD10</vt:lpwstr>
  </property>
  <property fmtid="{D5CDD505-2E9C-101B-9397-08002B2CF9AE}" pid="3" name="MediaServiceImageTags">
    <vt:lpwstr/>
  </property>
</Properties>
</file>